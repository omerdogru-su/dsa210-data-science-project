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ftalık Satış" sheetId="1" state="visible" r:id="rId3"/>
    <sheet name="Yönte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<sst xmlns="http://schemas.openxmlformats.org/spreadsheetml/2006/main" count="337" uniqueCount="335">
  <si>
    <t xml:space="preserve">Yıl</t>
  </si>
  <si>
    <t xml:space="preserve">Hafta No</t>
  </si>
  <si>
    <t xml:space="preserve">Hafta Başlangıç (Pzt)</t>
  </si>
  <si>
    <t xml:space="preserve">Hafta Bitiş (Paz)</t>
  </si>
  <si>
    <t xml:space="preserve">Haftalık Satış (ton)</t>
  </si>
  <si>
    <t xml:space="preserve">02.01.2023</t>
  </si>
  <si>
    <t xml:space="preserve">08.01.2023</t>
  </si>
  <si>
    <t xml:space="preserve">09.01.2023</t>
  </si>
  <si>
    <t xml:space="preserve">15.01.2023</t>
  </si>
  <si>
    <t xml:space="preserve">16.01.2023</t>
  </si>
  <si>
    <t xml:space="preserve">22.01.2023</t>
  </si>
  <si>
    <t xml:space="preserve">23.01.2023</t>
  </si>
  <si>
    <t xml:space="preserve">29.01.2023</t>
  </si>
  <si>
    <t xml:space="preserve">30.01.2023</t>
  </si>
  <si>
    <t xml:space="preserve">05.02.2023</t>
  </si>
  <si>
    <t xml:space="preserve">06.02.2023</t>
  </si>
  <si>
    <t xml:space="preserve">12.02.2023</t>
  </si>
  <si>
    <t xml:space="preserve">13.02.2023</t>
  </si>
  <si>
    <t xml:space="preserve">19.02.2023</t>
  </si>
  <si>
    <t xml:space="preserve">20.02.2023</t>
  </si>
  <si>
    <t xml:space="preserve">26.02.2023</t>
  </si>
  <si>
    <t xml:space="preserve">27.02.2023</t>
  </si>
  <si>
    <t xml:space="preserve">05.03.2023</t>
  </si>
  <si>
    <t xml:space="preserve">06.03.2023</t>
  </si>
  <si>
    <t xml:space="preserve">12.03.2023</t>
  </si>
  <si>
    <t xml:space="preserve">13.03.2023</t>
  </si>
  <si>
    <t xml:space="preserve">19.03.2023</t>
  </si>
  <si>
    <t xml:space="preserve">20.03.2023</t>
  </si>
  <si>
    <t xml:space="preserve">26.03.2023</t>
  </si>
  <si>
    <t xml:space="preserve">27.03.2023</t>
  </si>
  <si>
    <t xml:space="preserve">02.04.2023</t>
  </si>
  <si>
    <t xml:space="preserve">03.04.2023</t>
  </si>
  <si>
    <t xml:space="preserve">09.04.2023</t>
  </si>
  <si>
    <t xml:space="preserve">10.04.2023</t>
  </si>
  <si>
    <t xml:space="preserve">16.04.2023</t>
  </si>
  <si>
    <t xml:space="preserve">17.04.2023</t>
  </si>
  <si>
    <t xml:space="preserve">23.04.2023</t>
  </si>
  <si>
    <t xml:space="preserve">24.04.2023</t>
  </si>
  <si>
    <t xml:space="preserve">30.04.2023</t>
  </si>
  <si>
    <t xml:space="preserve">01.05.2023</t>
  </si>
  <si>
    <t xml:space="preserve">07.05.2023</t>
  </si>
  <si>
    <t xml:space="preserve">08.05.2023</t>
  </si>
  <si>
    <t xml:space="preserve">14.05.2023</t>
  </si>
  <si>
    <t xml:space="preserve">15.05.2023</t>
  </si>
  <si>
    <t xml:space="preserve">21.05.2023</t>
  </si>
  <si>
    <t xml:space="preserve">22.05.2023</t>
  </si>
  <si>
    <t xml:space="preserve">28.05.2023</t>
  </si>
  <si>
    <t xml:space="preserve">29.05.2023</t>
  </si>
  <si>
    <t xml:space="preserve">04.06.2023</t>
  </si>
  <si>
    <t xml:space="preserve">05.06.2023</t>
  </si>
  <si>
    <t xml:space="preserve">11.06.2023</t>
  </si>
  <si>
    <t xml:space="preserve">12.06.2023</t>
  </si>
  <si>
    <t xml:space="preserve">18.06.2023</t>
  </si>
  <si>
    <t xml:space="preserve">19.06.2023</t>
  </si>
  <si>
    <t xml:space="preserve">25.06.2023</t>
  </si>
  <si>
    <t xml:space="preserve">26.06.2023</t>
  </si>
  <si>
    <t xml:space="preserve">02.07.2023</t>
  </si>
  <si>
    <t xml:space="preserve">03.07.2023</t>
  </si>
  <si>
    <t xml:space="preserve">09.07.2023</t>
  </si>
  <si>
    <t xml:space="preserve">10.07.2023</t>
  </si>
  <si>
    <t xml:space="preserve">16.07.2023</t>
  </si>
  <si>
    <t xml:space="preserve">17.07.2023</t>
  </si>
  <si>
    <t xml:space="preserve">23.07.2023</t>
  </si>
  <si>
    <t xml:space="preserve">24.07.2023</t>
  </si>
  <si>
    <t xml:space="preserve">30.07.2023</t>
  </si>
  <si>
    <t xml:space="preserve">31.07.2023</t>
  </si>
  <si>
    <t xml:space="preserve">06.08.2023</t>
  </si>
  <si>
    <t xml:space="preserve">07.08.2023</t>
  </si>
  <si>
    <t xml:space="preserve">13.08.2023</t>
  </si>
  <si>
    <t xml:space="preserve">14.08.2023</t>
  </si>
  <si>
    <t xml:space="preserve">20.08.2023</t>
  </si>
  <si>
    <t xml:space="preserve">21.08.2023</t>
  </si>
  <si>
    <t xml:space="preserve">27.08.2023</t>
  </si>
  <si>
    <t xml:space="preserve">28.08.2023</t>
  </si>
  <si>
    <t xml:space="preserve">03.09.2023</t>
  </si>
  <si>
    <t xml:space="preserve">04.09.2023</t>
  </si>
  <si>
    <t xml:space="preserve">10.09.2023</t>
  </si>
  <si>
    <t xml:space="preserve">11.09.2023</t>
  </si>
  <si>
    <t xml:space="preserve">17.09.2023</t>
  </si>
  <si>
    <t xml:space="preserve">18.09.2023</t>
  </si>
  <si>
    <t xml:space="preserve">24.09.2023</t>
  </si>
  <si>
    <t xml:space="preserve">25.09.2023</t>
  </si>
  <si>
    <t xml:space="preserve">01.10.2023</t>
  </si>
  <si>
    <t xml:space="preserve">02.10.2023</t>
  </si>
  <si>
    <t xml:space="preserve">08.10.2023</t>
  </si>
  <si>
    <t xml:space="preserve">09.10.2023</t>
  </si>
  <si>
    <t xml:space="preserve">15.10.2023</t>
  </si>
  <si>
    <t xml:space="preserve">16.10.2023</t>
  </si>
  <si>
    <t xml:space="preserve">22.10.2023</t>
  </si>
  <si>
    <t xml:space="preserve">23.10.2023</t>
  </si>
  <si>
    <t xml:space="preserve">29.10.2023</t>
  </si>
  <si>
    <t xml:space="preserve">30.10.2023</t>
  </si>
  <si>
    <t xml:space="preserve">05.11.2023</t>
  </si>
  <si>
    <t xml:space="preserve">06.11.2023</t>
  </si>
  <si>
    <t xml:space="preserve">12.11.2023</t>
  </si>
  <si>
    <t xml:space="preserve">13.11.2023</t>
  </si>
  <si>
    <t xml:space="preserve">19.11.2023</t>
  </si>
  <si>
    <t xml:space="preserve">20.11.2023</t>
  </si>
  <si>
    <t xml:space="preserve">26.11.2023</t>
  </si>
  <si>
    <t xml:space="preserve">27.11.2023</t>
  </si>
  <si>
    <t xml:space="preserve">03.12.2023</t>
  </si>
  <si>
    <t xml:space="preserve">04.12.2023</t>
  </si>
  <si>
    <t xml:space="preserve">10.12.2023</t>
  </si>
  <si>
    <t xml:space="preserve">11.12.2023</t>
  </si>
  <si>
    <t xml:space="preserve">17.12.2023</t>
  </si>
  <si>
    <t xml:space="preserve">18.12.2023</t>
  </si>
  <si>
    <t xml:space="preserve">24.12.2023</t>
  </si>
  <si>
    <t xml:space="preserve">25.12.2023</t>
  </si>
  <si>
    <t xml:space="preserve">31.12.2023</t>
  </si>
  <si>
    <t xml:space="preserve">TOPLAM</t>
  </si>
  <si>
    <t xml:space="preserve">01.01.2024</t>
  </si>
  <si>
    <t xml:space="preserve">07.01.2024</t>
  </si>
  <si>
    <t xml:space="preserve">08.01.2024</t>
  </si>
  <si>
    <t xml:space="preserve">14.01.2024</t>
  </si>
  <si>
    <t xml:space="preserve">15.01.2024</t>
  </si>
  <si>
    <t xml:space="preserve">21.01.2024</t>
  </si>
  <si>
    <t xml:space="preserve">22.01.2024</t>
  </si>
  <si>
    <t xml:space="preserve">28.01.2024</t>
  </si>
  <si>
    <t xml:space="preserve">29.01.2024</t>
  </si>
  <si>
    <t xml:space="preserve">04.02.2024</t>
  </si>
  <si>
    <t xml:space="preserve">05.02.2024</t>
  </si>
  <si>
    <t xml:space="preserve">11.02.2024</t>
  </si>
  <si>
    <t xml:space="preserve">12.02.2024</t>
  </si>
  <si>
    <t xml:space="preserve">18.02.2024</t>
  </si>
  <si>
    <t xml:space="preserve">19.02.2024</t>
  </si>
  <si>
    <t xml:space="preserve">25.02.2024</t>
  </si>
  <si>
    <t xml:space="preserve">26.02.2024</t>
  </si>
  <si>
    <t xml:space="preserve">03.03.2024</t>
  </si>
  <si>
    <t xml:space="preserve">04.03.2024</t>
  </si>
  <si>
    <t xml:space="preserve">10.03.2024</t>
  </si>
  <si>
    <t xml:space="preserve">11.03.2024</t>
  </si>
  <si>
    <t xml:space="preserve">17.03.2024</t>
  </si>
  <si>
    <t xml:space="preserve">18.03.2024</t>
  </si>
  <si>
    <t xml:space="preserve">24.03.2024</t>
  </si>
  <si>
    <t xml:space="preserve">25.03.2024</t>
  </si>
  <si>
    <t xml:space="preserve">31.03.2024</t>
  </si>
  <si>
    <t xml:space="preserve">01.04.2024</t>
  </si>
  <si>
    <t xml:space="preserve">07.04.2024</t>
  </si>
  <si>
    <t xml:space="preserve">08.04.2024</t>
  </si>
  <si>
    <t xml:space="preserve">14.04.2024</t>
  </si>
  <si>
    <t xml:space="preserve">15.04.2024</t>
  </si>
  <si>
    <t xml:space="preserve">21.04.2024</t>
  </si>
  <si>
    <t xml:space="preserve">22.04.2024</t>
  </si>
  <si>
    <t xml:space="preserve">28.04.2024</t>
  </si>
  <si>
    <t xml:space="preserve">29.04.2024</t>
  </si>
  <si>
    <t xml:space="preserve">05.05.2024</t>
  </si>
  <si>
    <t xml:space="preserve">06.05.2024</t>
  </si>
  <si>
    <t xml:space="preserve">12.05.2024</t>
  </si>
  <si>
    <t xml:space="preserve">13.05.2024</t>
  </si>
  <si>
    <t xml:space="preserve">19.05.2024</t>
  </si>
  <si>
    <t xml:space="preserve">20.05.2024</t>
  </si>
  <si>
    <t xml:space="preserve">26.05.2024</t>
  </si>
  <si>
    <t xml:space="preserve">27.05.2024</t>
  </si>
  <si>
    <t xml:space="preserve">02.06.2024</t>
  </si>
  <si>
    <t xml:space="preserve">03.06.2024</t>
  </si>
  <si>
    <t xml:space="preserve">09.06.2024</t>
  </si>
  <si>
    <t xml:space="preserve">10.06.2024</t>
  </si>
  <si>
    <t xml:space="preserve">16.06.2024</t>
  </si>
  <si>
    <t xml:space="preserve">17.06.2024</t>
  </si>
  <si>
    <t xml:space="preserve">23.06.2024</t>
  </si>
  <si>
    <t xml:space="preserve">24.06.2024</t>
  </si>
  <si>
    <t xml:space="preserve">30.06.2024</t>
  </si>
  <si>
    <t xml:space="preserve">01.07.2024</t>
  </si>
  <si>
    <t xml:space="preserve">07.07.2024</t>
  </si>
  <si>
    <t xml:space="preserve">08.07.2024</t>
  </si>
  <si>
    <t xml:space="preserve">14.07.2024</t>
  </si>
  <si>
    <t xml:space="preserve">15.07.2024</t>
  </si>
  <si>
    <t xml:space="preserve">21.07.2024</t>
  </si>
  <si>
    <t xml:space="preserve">22.07.2024</t>
  </si>
  <si>
    <t xml:space="preserve">28.07.2024</t>
  </si>
  <si>
    <t xml:space="preserve">29.07.2024</t>
  </si>
  <si>
    <t xml:space="preserve">04.08.2024</t>
  </si>
  <si>
    <t xml:space="preserve">05.08.2024</t>
  </si>
  <si>
    <t xml:space="preserve">11.08.2024</t>
  </si>
  <si>
    <t xml:space="preserve">12.08.2024</t>
  </si>
  <si>
    <t xml:space="preserve">18.08.2024</t>
  </si>
  <si>
    <t xml:space="preserve">19.08.2024</t>
  </si>
  <si>
    <t xml:space="preserve">25.08.2024</t>
  </si>
  <si>
    <t xml:space="preserve">26.08.2024</t>
  </si>
  <si>
    <t xml:space="preserve">01.09.2024</t>
  </si>
  <si>
    <t xml:space="preserve">02.09.2024</t>
  </si>
  <si>
    <t xml:space="preserve">08.09.2024</t>
  </si>
  <si>
    <t xml:space="preserve">09.09.2024</t>
  </si>
  <si>
    <t xml:space="preserve">15.09.2024</t>
  </si>
  <si>
    <t xml:space="preserve">16.09.2024</t>
  </si>
  <si>
    <t xml:space="preserve">22.09.2024</t>
  </si>
  <si>
    <t xml:space="preserve">23.09.2024</t>
  </si>
  <si>
    <t xml:space="preserve">29.09.2024</t>
  </si>
  <si>
    <t xml:space="preserve">30.09.2024</t>
  </si>
  <si>
    <t xml:space="preserve">06.10.2024</t>
  </si>
  <si>
    <t xml:space="preserve">07.10.2024</t>
  </si>
  <si>
    <t xml:space="preserve">13.10.2024</t>
  </si>
  <si>
    <t xml:space="preserve">14.10.2024</t>
  </si>
  <si>
    <t xml:space="preserve">20.10.2024</t>
  </si>
  <si>
    <t xml:space="preserve">21.10.2024</t>
  </si>
  <si>
    <t xml:space="preserve">27.10.2024</t>
  </si>
  <si>
    <t xml:space="preserve">28.10.2024</t>
  </si>
  <si>
    <t xml:space="preserve">03.11.2024</t>
  </si>
  <si>
    <t xml:space="preserve">04.11.2024</t>
  </si>
  <si>
    <t xml:space="preserve">10.11.2024</t>
  </si>
  <si>
    <t xml:space="preserve">11.11.2024</t>
  </si>
  <si>
    <t xml:space="preserve">17.11.2024</t>
  </si>
  <si>
    <t xml:space="preserve">18.11.2024</t>
  </si>
  <si>
    <t xml:space="preserve">24.11.2024</t>
  </si>
  <si>
    <t xml:space="preserve">25.11.2024</t>
  </si>
  <si>
    <t xml:space="preserve">01.12.2024</t>
  </si>
  <si>
    <t xml:space="preserve">02.12.2024</t>
  </si>
  <si>
    <t xml:space="preserve">08.12.2024</t>
  </si>
  <si>
    <t xml:space="preserve">09.12.2024</t>
  </si>
  <si>
    <t xml:space="preserve">15.12.2024</t>
  </si>
  <si>
    <t xml:space="preserve">16.12.2024</t>
  </si>
  <si>
    <t xml:space="preserve">22.12.2024</t>
  </si>
  <si>
    <t xml:space="preserve">23.12.2024</t>
  </si>
  <si>
    <t xml:space="preserve">29.12.2024</t>
  </si>
  <si>
    <t xml:space="preserve">30.12.2024</t>
  </si>
  <si>
    <t xml:space="preserve">05.01.2025</t>
  </si>
  <si>
    <t xml:space="preserve">06.01.2025</t>
  </si>
  <si>
    <t xml:space="preserve">12.01.2025</t>
  </si>
  <si>
    <t xml:space="preserve">13.01.2025</t>
  </si>
  <si>
    <t xml:space="preserve">19.01.2025</t>
  </si>
  <si>
    <t xml:space="preserve">20.01.2025</t>
  </si>
  <si>
    <t xml:space="preserve">26.01.2025</t>
  </si>
  <si>
    <t xml:space="preserve">27.01.2025</t>
  </si>
  <si>
    <t xml:space="preserve">02.02.2025</t>
  </si>
  <si>
    <t xml:space="preserve">03.02.2025</t>
  </si>
  <si>
    <t xml:space="preserve">09.02.2025</t>
  </si>
  <si>
    <t xml:space="preserve">10.02.2025</t>
  </si>
  <si>
    <t xml:space="preserve">16.02.2025</t>
  </si>
  <si>
    <t xml:space="preserve">17.02.2025</t>
  </si>
  <si>
    <t xml:space="preserve">23.02.2025</t>
  </si>
  <si>
    <t xml:space="preserve">24.02.2025</t>
  </si>
  <si>
    <t xml:space="preserve">02.03.2025</t>
  </si>
  <si>
    <t xml:space="preserve">03.03.2025</t>
  </si>
  <si>
    <t xml:space="preserve">09.03.2025</t>
  </si>
  <si>
    <t xml:space="preserve">10.03.2025</t>
  </si>
  <si>
    <t xml:space="preserve">16.03.2025</t>
  </si>
  <si>
    <t xml:space="preserve">17.03.2025</t>
  </si>
  <si>
    <t xml:space="preserve">23.03.2025</t>
  </si>
  <si>
    <t xml:space="preserve">24.03.2025</t>
  </si>
  <si>
    <t xml:space="preserve">30.03.2025</t>
  </si>
  <si>
    <t xml:space="preserve">31.03.2025</t>
  </si>
  <si>
    <t xml:space="preserve">06.04.2025</t>
  </si>
  <si>
    <t xml:space="preserve">07.04.2025</t>
  </si>
  <si>
    <t xml:space="preserve">13.04.2025</t>
  </si>
  <si>
    <t xml:space="preserve">14.04.2025</t>
  </si>
  <si>
    <t xml:space="preserve">20.04.2025</t>
  </si>
  <si>
    <t xml:space="preserve">21.04.2025</t>
  </si>
  <si>
    <t xml:space="preserve">27.04.2025</t>
  </si>
  <si>
    <t xml:space="preserve">28.04.2025</t>
  </si>
  <si>
    <t xml:space="preserve">04.05.2025</t>
  </si>
  <si>
    <t xml:space="preserve">05.05.2025</t>
  </si>
  <si>
    <t xml:space="preserve">11.05.2025</t>
  </si>
  <si>
    <t xml:space="preserve">12.05.2025</t>
  </si>
  <si>
    <t xml:space="preserve">18.05.2025</t>
  </si>
  <si>
    <t xml:space="preserve">19.05.2025</t>
  </si>
  <si>
    <t xml:space="preserve">25.05.2025</t>
  </si>
  <si>
    <t xml:space="preserve">26.05.2025</t>
  </si>
  <si>
    <t xml:space="preserve">01.06.2025</t>
  </si>
  <si>
    <t xml:space="preserve">02.06.2025</t>
  </si>
  <si>
    <t xml:space="preserve">08.06.2025</t>
  </si>
  <si>
    <t xml:space="preserve">09.06.2025</t>
  </si>
  <si>
    <t xml:space="preserve">15.06.2025</t>
  </si>
  <si>
    <t xml:space="preserve">16.06.2025</t>
  </si>
  <si>
    <t xml:space="preserve">22.06.2025</t>
  </si>
  <si>
    <t xml:space="preserve">23.06.2025</t>
  </si>
  <si>
    <t xml:space="preserve">29.06.2025</t>
  </si>
  <si>
    <t xml:space="preserve">30.06.2025</t>
  </si>
  <si>
    <t xml:space="preserve">06.07.2025</t>
  </si>
  <si>
    <t xml:space="preserve">07.07.2025</t>
  </si>
  <si>
    <t xml:space="preserve">13.07.2025</t>
  </si>
  <si>
    <t xml:space="preserve">14.07.2025</t>
  </si>
  <si>
    <t xml:space="preserve">20.07.2025</t>
  </si>
  <si>
    <t xml:space="preserve">21.07.2025</t>
  </si>
  <si>
    <t xml:space="preserve">27.07.2025</t>
  </si>
  <si>
    <t xml:space="preserve">28.07.2025</t>
  </si>
  <si>
    <t xml:space="preserve">03.08.2025</t>
  </si>
  <si>
    <t xml:space="preserve">04.08.2025</t>
  </si>
  <si>
    <t xml:space="preserve">10.08.2025</t>
  </si>
  <si>
    <t xml:space="preserve">11.08.2025</t>
  </si>
  <si>
    <t xml:space="preserve">17.08.2025</t>
  </si>
  <si>
    <t xml:space="preserve">18.08.2025</t>
  </si>
  <si>
    <t xml:space="preserve">24.08.2025</t>
  </si>
  <si>
    <t xml:space="preserve">25.08.2025</t>
  </si>
  <si>
    <t xml:space="preserve">31.08.2025</t>
  </si>
  <si>
    <t xml:space="preserve">01.09.2025</t>
  </si>
  <si>
    <t xml:space="preserve">07.09.2025</t>
  </si>
  <si>
    <t xml:space="preserve">08.09.2025</t>
  </si>
  <si>
    <t xml:space="preserve">14.09.2025</t>
  </si>
  <si>
    <t xml:space="preserve">15.09.2025</t>
  </si>
  <si>
    <t xml:space="preserve">21.09.2025</t>
  </si>
  <si>
    <t xml:space="preserve">22.09.2025</t>
  </si>
  <si>
    <t xml:space="preserve">28.09.2025</t>
  </si>
  <si>
    <t xml:space="preserve">29.09.2025</t>
  </si>
  <si>
    <t xml:space="preserve">05.10.2025</t>
  </si>
  <si>
    <t xml:space="preserve">06.10.2025</t>
  </si>
  <si>
    <t xml:space="preserve">12.10.2025</t>
  </si>
  <si>
    <t xml:space="preserve">13.10.2025</t>
  </si>
  <si>
    <t xml:space="preserve">19.10.2025</t>
  </si>
  <si>
    <t xml:space="preserve">20.10.2025</t>
  </si>
  <si>
    <t xml:space="preserve">26.10.2025</t>
  </si>
  <si>
    <t xml:space="preserve">27.10.2025</t>
  </si>
  <si>
    <t xml:space="preserve">02.11.2025</t>
  </si>
  <si>
    <t xml:space="preserve">03.11.2025</t>
  </si>
  <si>
    <t xml:space="preserve">09.11.2025</t>
  </si>
  <si>
    <t xml:space="preserve">10.11.2025</t>
  </si>
  <si>
    <t xml:space="preserve">16.11.2025</t>
  </si>
  <si>
    <t xml:space="preserve">17.11.2025</t>
  </si>
  <si>
    <t xml:space="preserve">23.11.2025</t>
  </si>
  <si>
    <t xml:space="preserve">24.11.2025</t>
  </si>
  <si>
    <t xml:space="preserve">30.11.2025</t>
  </si>
  <si>
    <t xml:space="preserve">01.12.2025</t>
  </si>
  <si>
    <t xml:space="preserve">07.12.2025</t>
  </si>
  <si>
    <t xml:space="preserve">08.12.2025</t>
  </si>
  <si>
    <t xml:space="preserve">14.12.2025</t>
  </si>
  <si>
    <t xml:space="preserve">15.12.2025</t>
  </si>
  <si>
    <t xml:space="preserve">21.12.2025</t>
  </si>
  <si>
    <t xml:space="preserve">22.12.2025</t>
  </si>
  <si>
    <t xml:space="preserve">28.12.2025</t>
  </si>
  <si>
    <t xml:space="preserve">Yöntem Açıklaması</t>
  </si>
  <si>
    <t xml:space="preserve">Aylık satış verisi haftalık veriye çevrilirken her ay 4 eşit parçaya bölünmemiştir.</t>
  </si>
  <si>
    <t xml:space="preserve">Bunun yerine günlük satış oranı (aylık toplam / o ayın gerçek gün sayısı) hesaplanmış,</t>
  </si>
  <si>
    <t xml:space="preserve">her ISO haftası (Pazartesi-Pazar) o haftaya düşen 7 günün ait olduğu ayların günlük</t>
  </si>
  <si>
    <t xml:space="preserve">oranlarıyla ağırlıklandırılmıştır.</t>
  </si>
  <si>
    <t xml:space="preserve">Avantajları:</t>
  </si>
  <si>
    <t xml:space="preserve">• Şubat (28-29 gün) gibi kısa aylar otomatik olarak daha düşük haftalık değerler üretir.</t>
  </si>
  <si>
    <t xml:space="preserve">• 31 günlük aylar 30 günlük aylardan biraz daha yüksek haftalık değer verir.</t>
  </si>
  <si>
    <t xml:space="preserve">• Ay geçişlerindeki haftalar (örn. 28 Nisan – 4 Mayıs) iki ayın günlük oranlarının</t>
  </si>
  <si>
    <t xml:space="preserve">  karışımı olur, sert sıçramalar yerine doğal geçişler oluşur.</t>
  </si>
  <si>
    <t xml:space="preserve">• Aylık toplamlar (gün ağırlıklı haftalara dağıtıldığı için) korunur.</t>
  </si>
  <si>
    <t xml:space="preserve">Hafta tanımı: ISO 8601 standardı (Pazartesi başlangıç, Pazar bitiş).</t>
  </si>
  <si>
    <t xml:space="preserve">ISO Hafta 1 = yılın ilk Perşembesini içeren hafta.</t>
  </si>
  <si>
    <t xml:space="preserve">Mutabakat Kontrolü</t>
  </si>
  <si>
    <t xml:space="preserve">Aylık Toplam (orijinal)</t>
  </si>
  <si>
    <t xml:space="preserve">Haftalık Toplam (hesaplanan)</t>
  </si>
  <si>
    <t xml:space="preserve">Fark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</si>
</sst>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5" min="3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2023</v>
      </c>
      <c r="B2" s="2" t="n">
        <v>1</v>
      </c>
      <c r="C2" s="2" t="s">
        <v>5</v>
      </c>
      <c r="D2" s="2" t="s">
        <v>6</v>
      </c>
      <c r="E2" s="3" t="n">
        <v>40105</v>
      </c>
    </row>
    <row r="3" customFormat="false" ht="15" hidden="false" customHeight="false" outlineLevel="0" collapsed="false">
      <c r="A3" s="2" t="n">
        <v>2023</v>
      </c>
      <c r="B3" s="2" t="n">
        <v>2</v>
      </c>
      <c r="C3" s="2" t="s">
        <v>7</v>
      </c>
      <c r="D3" s="2" t="s">
        <v>8</v>
      </c>
      <c r="E3" s="3" t="n">
        <v>40105</v>
      </c>
    </row>
    <row r="4" customFormat="false" ht="15" hidden="false" customHeight="false" outlineLevel="0" collapsed="false">
      <c r="A4" s="2" t="n">
        <v>2023</v>
      </c>
      <c r="B4" s="2" t="n">
        <v>3</v>
      </c>
      <c r="C4" s="2" t="s">
        <v>9</v>
      </c>
      <c r="D4" s="2" t="s">
        <v>10</v>
      </c>
      <c r="E4" s="3" t="n">
        <v>40105</v>
      </c>
    </row>
    <row r="5" customFormat="false" ht="15" hidden="false" customHeight="false" outlineLevel="0" collapsed="false">
      <c r="A5" s="2" t="n">
        <v>2023</v>
      </c>
      <c r="B5" s="2" t="n">
        <v>4</v>
      </c>
      <c r="C5" s="2" t="s">
        <v>11</v>
      </c>
      <c r="D5" s="2" t="s">
        <v>12</v>
      </c>
      <c r="E5" s="3" t="n">
        <v>40105</v>
      </c>
    </row>
    <row r="6" customFormat="false" ht="15" hidden="false" customHeight="false" outlineLevel="0" collapsed="false">
      <c r="A6" s="2" t="n">
        <v>2023</v>
      </c>
      <c r="B6" s="2" t="n">
        <v>5</v>
      </c>
      <c r="C6" s="2" t="s">
        <v>13</v>
      </c>
      <c r="D6" s="2" t="s">
        <v>14</v>
      </c>
      <c r="E6" s="3" t="n">
        <v>29847</v>
      </c>
    </row>
    <row r="7" customFormat="false" ht="15" hidden="false" customHeight="false" outlineLevel="0" collapsed="false">
      <c r="A7" s="2" t="n">
        <v>2023</v>
      </c>
      <c r="B7" s="2" t="n">
        <v>6</v>
      </c>
      <c r="C7" s="2" t="s">
        <v>15</v>
      </c>
      <c r="D7" s="2" t="s">
        <v>16</v>
      </c>
      <c r="E7" s="3" t="n">
        <v>25744</v>
      </c>
    </row>
    <row r="8" customFormat="false" ht="15" hidden="false" customHeight="false" outlineLevel="0" collapsed="false">
      <c r="A8" s="2" t="n">
        <v>2023</v>
      </c>
      <c r="B8" s="2" t="n">
        <v>7</v>
      </c>
      <c r="C8" s="2" t="s">
        <v>17</v>
      </c>
      <c r="D8" s="2" t="s">
        <v>18</v>
      </c>
      <c r="E8" s="3" t="n">
        <v>25744</v>
      </c>
    </row>
    <row r="9" customFormat="false" ht="15" hidden="false" customHeight="false" outlineLevel="0" collapsed="false">
      <c r="A9" s="2" t="n">
        <v>2023</v>
      </c>
      <c r="B9" s="2" t="n">
        <v>8</v>
      </c>
      <c r="C9" s="2" t="s">
        <v>19</v>
      </c>
      <c r="D9" s="2" t="s">
        <v>20</v>
      </c>
      <c r="E9" s="3" t="n">
        <v>25744</v>
      </c>
    </row>
    <row r="10" customFormat="false" ht="15" hidden="false" customHeight="false" outlineLevel="0" collapsed="false">
      <c r="A10" s="2" t="n">
        <v>2023</v>
      </c>
      <c r="B10" s="2" t="n">
        <v>9</v>
      </c>
      <c r="C10" s="2" t="s">
        <v>21</v>
      </c>
      <c r="D10" s="2" t="s">
        <v>22</v>
      </c>
      <c r="E10" s="3" t="n">
        <v>56214</v>
      </c>
    </row>
    <row r="11" customFormat="false" ht="15" hidden="false" customHeight="false" outlineLevel="0" collapsed="false">
      <c r="A11" s="2" t="n">
        <v>2023</v>
      </c>
      <c r="B11" s="2" t="n">
        <v>10</v>
      </c>
      <c r="C11" s="2" t="s">
        <v>23</v>
      </c>
      <c r="D11" s="2" t="s">
        <v>24</v>
      </c>
      <c r="E11" s="3" t="n">
        <v>68403</v>
      </c>
    </row>
    <row r="12" customFormat="false" ht="15" hidden="false" customHeight="false" outlineLevel="0" collapsed="false">
      <c r="A12" s="2" t="n">
        <v>2023</v>
      </c>
      <c r="B12" s="2" t="n">
        <v>11</v>
      </c>
      <c r="C12" s="2" t="s">
        <v>25</v>
      </c>
      <c r="D12" s="2" t="s">
        <v>26</v>
      </c>
      <c r="E12" s="3" t="n">
        <v>68403</v>
      </c>
    </row>
    <row r="13" customFormat="false" ht="15" hidden="false" customHeight="false" outlineLevel="0" collapsed="false">
      <c r="A13" s="2" t="n">
        <v>2023</v>
      </c>
      <c r="B13" s="2" t="n">
        <v>12</v>
      </c>
      <c r="C13" s="2" t="s">
        <v>27</v>
      </c>
      <c r="D13" s="2" t="s">
        <v>28</v>
      </c>
      <c r="E13" s="3" t="n">
        <v>68403</v>
      </c>
    </row>
    <row r="14" customFormat="false" ht="15" hidden="false" customHeight="false" outlineLevel="0" collapsed="false">
      <c r="A14" s="2" t="n">
        <v>2023</v>
      </c>
      <c r="B14" s="2" t="n">
        <v>13</v>
      </c>
      <c r="C14" s="2" t="s">
        <v>29</v>
      </c>
      <c r="D14" s="2" t="s">
        <v>30</v>
      </c>
      <c r="E14" s="3" t="n">
        <v>57925</v>
      </c>
    </row>
    <row r="15" customFormat="false" ht="15" hidden="false" customHeight="false" outlineLevel="0" collapsed="false">
      <c r="A15" s="2" t="n">
        <v>2023</v>
      </c>
      <c r="B15" s="2" t="n">
        <v>14</v>
      </c>
      <c r="C15" s="2" t="s">
        <v>31</v>
      </c>
      <c r="D15" s="2" t="s">
        <v>32</v>
      </c>
      <c r="E15" s="3" t="n">
        <v>31732</v>
      </c>
    </row>
    <row r="16" customFormat="false" ht="15" hidden="false" customHeight="false" outlineLevel="0" collapsed="false">
      <c r="A16" s="2" t="n">
        <v>2023</v>
      </c>
      <c r="B16" s="2" t="n">
        <v>15</v>
      </c>
      <c r="C16" s="2" t="s">
        <v>33</v>
      </c>
      <c r="D16" s="2" t="s">
        <v>34</v>
      </c>
      <c r="E16" s="3" t="n">
        <v>31732</v>
      </c>
    </row>
    <row r="17" customFormat="false" ht="15" hidden="false" customHeight="false" outlineLevel="0" collapsed="false">
      <c r="A17" s="2" t="n">
        <v>2023</v>
      </c>
      <c r="B17" s="2" t="n">
        <v>16</v>
      </c>
      <c r="C17" s="2" t="s">
        <v>35</v>
      </c>
      <c r="D17" s="2" t="s">
        <v>36</v>
      </c>
      <c r="E17" s="3" t="n">
        <v>31732</v>
      </c>
    </row>
    <row r="18" customFormat="false" ht="15" hidden="false" customHeight="false" outlineLevel="0" collapsed="false">
      <c r="A18" s="2" t="n">
        <v>2023</v>
      </c>
      <c r="B18" s="2" t="n">
        <v>17</v>
      </c>
      <c r="C18" s="2" t="s">
        <v>37</v>
      </c>
      <c r="D18" s="2" t="s">
        <v>38</v>
      </c>
      <c r="E18" s="3" t="n">
        <v>31732</v>
      </c>
    </row>
    <row r="19" customFormat="false" ht="15" hidden="false" customHeight="false" outlineLevel="0" collapsed="false">
      <c r="A19" s="2" t="n">
        <v>2023</v>
      </c>
      <c r="B19" s="2" t="n">
        <v>18</v>
      </c>
      <c r="C19" s="2" t="s">
        <v>39</v>
      </c>
      <c r="D19" s="2" t="s">
        <v>40</v>
      </c>
      <c r="E19" s="3" t="n">
        <v>58700</v>
      </c>
    </row>
    <row r="20" customFormat="false" ht="15" hidden="false" customHeight="false" outlineLevel="0" collapsed="false">
      <c r="A20" s="2" t="n">
        <v>2023</v>
      </c>
      <c r="B20" s="2" t="n">
        <v>19</v>
      </c>
      <c r="C20" s="2" t="s">
        <v>41</v>
      </c>
      <c r="D20" s="2" t="s">
        <v>42</v>
      </c>
      <c r="E20" s="3" t="n">
        <v>58700</v>
      </c>
    </row>
    <row r="21" customFormat="false" ht="15" hidden="false" customHeight="false" outlineLevel="0" collapsed="false">
      <c r="A21" s="2" t="n">
        <v>2023</v>
      </c>
      <c r="B21" s="2" t="n">
        <v>20</v>
      </c>
      <c r="C21" s="2" t="s">
        <v>43</v>
      </c>
      <c r="D21" s="2" t="s">
        <v>44</v>
      </c>
      <c r="E21" s="3" t="n">
        <v>58700</v>
      </c>
    </row>
    <row r="22" customFormat="false" ht="15" hidden="false" customHeight="false" outlineLevel="0" collapsed="false">
      <c r="A22" s="2" t="n">
        <v>2023</v>
      </c>
      <c r="B22" s="2" t="n">
        <v>21</v>
      </c>
      <c r="C22" s="2" t="s">
        <v>45</v>
      </c>
      <c r="D22" s="2" t="s">
        <v>46</v>
      </c>
      <c r="E22" s="3" t="n">
        <v>58700</v>
      </c>
    </row>
    <row r="23" customFormat="false" ht="15" hidden="false" customHeight="false" outlineLevel="0" collapsed="false">
      <c r="A23" s="2" t="n">
        <v>2023</v>
      </c>
      <c r="B23" s="2" t="n">
        <v>22</v>
      </c>
      <c r="C23" s="2" t="s">
        <v>47</v>
      </c>
      <c r="D23" s="2" t="s">
        <v>48</v>
      </c>
      <c r="E23" s="3" t="n">
        <v>51970</v>
      </c>
    </row>
    <row r="24" customFormat="false" ht="15" hidden="false" customHeight="false" outlineLevel="0" collapsed="false">
      <c r="A24" s="2" t="n">
        <v>2023</v>
      </c>
      <c r="B24" s="2" t="n">
        <v>23</v>
      </c>
      <c r="C24" s="2" t="s">
        <v>49</v>
      </c>
      <c r="D24" s="2" t="s">
        <v>50</v>
      </c>
      <c r="E24" s="3" t="n">
        <v>46922</v>
      </c>
    </row>
    <row r="25" customFormat="false" ht="15" hidden="false" customHeight="false" outlineLevel="0" collapsed="false">
      <c r="A25" s="2" t="n">
        <v>2023</v>
      </c>
      <c r="B25" s="2" t="n">
        <v>24</v>
      </c>
      <c r="C25" s="2" t="s">
        <v>51</v>
      </c>
      <c r="D25" s="2" t="s">
        <v>52</v>
      </c>
      <c r="E25" s="3" t="n">
        <v>46922</v>
      </c>
    </row>
    <row r="26" customFormat="false" ht="15" hidden="false" customHeight="false" outlineLevel="0" collapsed="false">
      <c r="A26" s="2" t="n">
        <v>2023</v>
      </c>
      <c r="B26" s="2" t="n">
        <v>25</v>
      </c>
      <c r="C26" s="2" t="s">
        <v>53</v>
      </c>
      <c r="D26" s="2" t="s">
        <v>54</v>
      </c>
      <c r="E26" s="3" t="n">
        <v>46922</v>
      </c>
    </row>
    <row r="27" customFormat="false" ht="15" hidden="false" customHeight="false" outlineLevel="0" collapsed="false">
      <c r="A27" s="2" t="n">
        <v>2023</v>
      </c>
      <c r="B27" s="2" t="n">
        <v>26</v>
      </c>
      <c r="C27" s="2" t="s">
        <v>55</v>
      </c>
      <c r="D27" s="2" t="s">
        <v>56</v>
      </c>
      <c r="E27" s="3" t="n">
        <v>49909</v>
      </c>
    </row>
    <row r="28" customFormat="false" ht="15" hidden="false" customHeight="false" outlineLevel="0" collapsed="false">
      <c r="A28" s="2" t="n">
        <v>2023</v>
      </c>
      <c r="B28" s="2" t="n">
        <v>27</v>
      </c>
      <c r="C28" s="2" t="s">
        <v>57</v>
      </c>
      <c r="D28" s="2" t="s">
        <v>58</v>
      </c>
      <c r="E28" s="3" t="n">
        <v>57376</v>
      </c>
    </row>
    <row r="29" customFormat="false" ht="15" hidden="false" customHeight="false" outlineLevel="0" collapsed="false">
      <c r="A29" s="2" t="n">
        <v>2023</v>
      </c>
      <c r="B29" s="2" t="n">
        <v>28</v>
      </c>
      <c r="C29" s="2" t="s">
        <v>59</v>
      </c>
      <c r="D29" s="2" t="s">
        <v>60</v>
      </c>
      <c r="E29" s="3" t="n">
        <v>57376</v>
      </c>
    </row>
    <row r="30" customFormat="false" ht="15" hidden="false" customHeight="false" outlineLevel="0" collapsed="false">
      <c r="A30" s="2" t="n">
        <v>2023</v>
      </c>
      <c r="B30" s="2" t="n">
        <v>29</v>
      </c>
      <c r="C30" s="2" t="s">
        <v>61</v>
      </c>
      <c r="D30" s="2" t="s">
        <v>62</v>
      </c>
      <c r="E30" s="3" t="n">
        <v>57376</v>
      </c>
    </row>
    <row r="31" customFormat="false" ht="15" hidden="false" customHeight="false" outlineLevel="0" collapsed="false">
      <c r="A31" s="2" t="n">
        <v>2023</v>
      </c>
      <c r="B31" s="2" t="n">
        <v>30</v>
      </c>
      <c r="C31" s="2" t="s">
        <v>63</v>
      </c>
      <c r="D31" s="2" t="s">
        <v>64</v>
      </c>
      <c r="E31" s="3" t="n">
        <v>57376</v>
      </c>
    </row>
    <row r="32" customFormat="false" ht="15" hidden="false" customHeight="false" outlineLevel="0" collapsed="false">
      <c r="A32" s="2" t="n">
        <v>2023</v>
      </c>
      <c r="B32" s="2" t="n">
        <v>31</v>
      </c>
      <c r="C32" s="2" t="s">
        <v>65</v>
      </c>
      <c r="D32" s="2" t="s">
        <v>66</v>
      </c>
      <c r="E32" s="3" t="n">
        <v>68767</v>
      </c>
    </row>
    <row r="33" customFormat="false" ht="15" hidden="false" customHeight="false" outlineLevel="0" collapsed="false">
      <c r="A33" s="2" t="n">
        <v>2023</v>
      </c>
      <c r="B33" s="2" t="n">
        <v>32</v>
      </c>
      <c r="C33" s="2" t="s">
        <v>67</v>
      </c>
      <c r="D33" s="2" t="s">
        <v>68</v>
      </c>
      <c r="E33" s="3" t="n">
        <v>70666</v>
      </c>
    </row>
    <row r="34" customFormat="false" ht="15" hidden="false" customHeight="false" outlineLevel="0" collapsed="false">
      <c r="A34" s="2" t="n">
        <v>2023</v>
      </c>
      <c r="B34" s="2" t="n">
        <v>33</v>
      </c>
      <c r="C34" s="2" t="s">
        <v>69</v>
      </c>
      <c r="D34" s="2" t="s">
        <v>70</v>
      </c>
      <c r="E34" s="3" t="n">
        <v>70666</v>
      </c>
    </row>
    <row r="35" customFormat="false" ht="15" hidden="false" customHeight="false" outlineLevel="0" collapsed="false">
      <c r="A35" s="2" t="n">
        <v>2023</v>
      </c>
      <c r="B35" s="2" t="n">
        <v>34</v>
      </c>
      <c r="C35" s="2" t="s">
        <v>71</v>
      </c>
      <c r="D35" s="2" t="s">
        <v>72</v>
      </c>
      <c r="E35" s="3" t="n">
        <v>70666</v>
      </c>
    </row>
    <row r="36" customFormat="false" ht="15" hidden="false" customHeight="false" outlineLevel="0" collapsed="false">
      <c r="A36" s="2" t="n">
        <v>2023</v>
      </c>
      <c r="B36" s="2" t="n">
        <v>35</v>
      </c>
      <c r="C36" s="2" t="s">
        <v>73</v>
      </c>
      <c r="D36" s="2" t="s">
        <v>74</v>
      </c>
      <c r="E36" s="3" t="n">
        <v>69196</v>
      </c>
    </row>
    <row r="37" customFormat="false" ht="15" hidden="false" customHeight="false" outlineLevel="0" collapsed="false">
      <c r="A37" s="2" t="n">
        <v>2023</v>
      </c>
      <c r="B37" s="2" t="n">
        <v>36</v>
      </c>
      <c r="C37" s="2" t="s">
        <v>75</v>
      </c>
      <c r="D37" s="2" t="s">
        <v>76</v>
      </c>
      <c r="E37" s="3" t="n">
        <v>67238</v>
      </c>
    </row>
    <row r="38" customFormat="false" ht="15" hidden="false" customHeight="false" outlineLevel="0" collapsed="false">
      <c r="A38" s="2" t="n">
        <v>2023</v>
      </c>
      <c r="B38" s="2" t="n">
        <v>37</v>
      </c>
      <c r="C38" s="2" t="s">
        <v>77</v>
      </c>
      <c r="D38" s="2" t="s">
        <v>78</v>
      </c>
      <c r="E38" s="3" t="n">
        <v>67238</v>
      </c>
    </row>
    <row r="39" customFormat="false" ht="15" hidden="false" customHeight="false" outlineLevel="0" collapsed="false">
      <c r="A39" s="2" t="n">
        <v>2023</v>
      </c>
      <c r="B39" s="2" t="n">
        <v>38</v>
      </c>
      <c r="C39" s="2" t="s">
        <v>79</v>
      </c>
      <c r="D39" s="2" t="s">
        <v>80</v>
      </c>
      <c r="E39" s="3" t="n">
        <v>67238</v>
      </c>
    </row>
    <row r="40" customFormat="false" ht="15" hidden="false" customHeight="false" outlineLevel="0" collapsed="false">
      <c r="A40" s="2" t="n">
        <v>2023</v>
      </c>
      <c r="B40" s="2" t="n">
        <v>39</v>
      </c>
      <c r="C40" s="2" t="s">
        <v>81</v>
      </c>
      <c r="D40" s="2" t="s">
        <v>82</v>
      </c>
      <c r="E40" s="3" t="n">
        <v>64115</v>
      </c>
    </row>
    <row r="41" customFormat="false" ht="15" hidden="false" customHeight="false" outlineLevel="0" collapsed="false">
      <c r="A41" s="2" t="n">
        <v>2023</v>
      </c>
      <c r="B41" s="2" t="n">
        <v>40</v>
      </c>
      <c r="C41" s="2" t="s">
        <v>83</v>
      </c>
      <c r="D41" s="2" t="s">
        <v>84</v>
      </c>
      <c r="E41" s="3" t="n">
        <v>45383</v>
      </c>
    </row>
    <row r="42" customFormat="false" ht="15" hidden="false" customHeight="false" outlineLevel="0" collapsed="false">
      <c r="A42" s="2" t="n">
        <v>2023</v>
      </c>
      <c r="B42" s="2" t="n">
        <v>41</v>
      </c>
      <c r="C42" s="2" t="s">
        <v>85</v>
      </c>
      <c r="D42" s="2" t="s">
        <v>86</v>
      </c>
      <c r="E42" s="3" t="n">
        <v>45383</v>
      </c>
    </row>
    <row r="43" customFormat="false" ht="15" hidden="false" customHeight="false" outlineLevel="0" collapsed="false">
      <c r="A43" s="2" t="n">
        <v>2023</v>
      </c>
      <c r="B43" s="2" t="n">
        <v>42</v>
      </c>
      <c r="C43" s="2" t="s">
        <v>87</v>
      </c>
      <c r="D43" s="2" t="s">
        <v>88</v>
      </c>
      <c r="E43" s="3" t="n">
        <v>45383</v>
      </c>
    </row>
    <row r="44" customFormat="false" ht="15" hidden="false" customHeight="false" outlineLevel="0" collapsed="false">
      <c r="A44" s="2" t="n">
        <v>2023</v>
      </c>
      <c r="B44" s="2" t="n">
        <v>43</v>
      </c>
      <c r="C44" s="2" t="s">
        <v>89</v>
      </c>
      <c r="D44" s="2" t="s">
        <v>90</v>
      </c>
      <c r="E44" s="3" t="n">
        <v>45383</v>
      </c>
    </row>
    <row r="45" customFormat="false" ht="15" hidden="false" customHeight="false" outlineLevel="0" collapsed="false">
      <c r="A45" s="2" t="n">
        <v>2023</v>
      </c>
      <c r="B45" s="2" t="n">
        <v>44</v>
      </c>
      <c r="C45" s="2" t="s">
        <v>91</v>
      </c>
      <c r="D45" s="2" t="s">
        <v>92</v>
      </c>
      <c r="E45" s="3" t="n">
        <v>56222</v>
      </c>
    </row>
    <row r="46" customFormat="false" ht="15" hidden="false" customHeight="false" outlineLevel="0" collapsed="false">
      <c r="A46" s="2" t="n">
        <v>2023</v>
      </c>
      <c r="B46" s="2" t="n">
        <v>45</v>
      </c>
      <c r="C46" s="2" t="s">
        <v>93</v>
      </c>
      <c r="D46" s="2" t="s">
        <v>94</v>
      </c>
      <c r="E46" s="3" t="n">
        <v>60557</v>
      </c>
    </row>
    <row r="47" customFormat="false" ht="15" hidden="false" customHeight="false" outlineLevel="0" collapsed="false">
      <c r="A47" s="2" t="n">
        <v>2023</v>
      </c>
      <c r="B47" s="2" t="n">
        <v>46</v>
      </c>
      <c r="C47" s="2" t="s">
        <v>95</v>
      </c>
      <c r="D47" s="2" t="s">
        <v>96</v>
      </c>
      <c r="E47" s="3" t="n">
        <v>60557</v>
      </c>
    </row>
    <row r="48" customFormat="false" ht="15" hidden="false" customHeight="false" outlineLevel="0" collapsed="false">
      <c r="A48" s="2" t="n">
        <v>2023</v>
      </c>
      <c r="B48" s="2" t="n">
        <v>47</v>
      </c>
      <c r="C48" s="2" t="s">
        <v>97</v>
      </c>
      <c r="D48" s="2" t="s">
        <v>98</v>
      </c>
      <c r="E48" s="3" t="n">
        <v>60557</v>
      </c>
    </row>
    <row r="49" customFormat="false" ht="15" hidden="false" customHeight="false" outlineLevel="0" collapsed="false">
      <c r="A49" s="2" t="n">
        <v>2023</v>
      </c>
      <c r="B49" s="2" t="n">
        <v>48</v>
      </c>
      <c r="C49" s="2" t="s">
        <v>99</v>
      </c>
      <c r="D49" s="2" t="s">
        <v>100</v>
      </c>
      <c r="E49" s="3" t="n">
        <v>64356</v>
      </c>
    </row>
    <row r="50" customFormat="false" ht="15" hidden="false" customHeight="false" outlineLevel="0" collapsed="false">
      <c r="A50" s="2" t="n">
        <v>2023</v>
      </c>
      <c r="B50" s="2" t="n">
        <v>49</v>
      </c>
      <c r="C50" s="2" t="s">
        <v>101</v>
      </c>
      <c r="D50" s="2" t="s">
        <v>102</v>
      </c>
      <c r="E50" s="3" t="n">
        <v>69421</v>
      </c>
    </row>
    <row r="51" customFormat="false" ht="15" hidden="false" customHeight="false" outlineLevel="0" collapsed="false">
      <c r="A51" s="2" t="n">
        <v>2023</v>
      </c>
      <c r="B51" s="2" t="n">
        <v>50</v>
      </c>
      <c r="C51" s="2" t="s">
        <v>103</v>
      </c>
      <c r="D51" s="2" t="s">
        <v>104</v>
      </c>
      <c r="E51" s="3" t="n">
        <v>69421</v>
      </c>
    </row>
    <row r="52" customFormat="false" ht="15" hidden="false" customHeight="false" outlineLevel="0" collapsed="false">
      <c r="A52" s="2" t="n">
        <v>2023</v>
      </c>
      <c r="B52" s="2" t="n">
        <v>51</v>
      </c>
      <c r="C52" s="2" t="s">
        <v>105</v>
      </c>
      <c r="D52" s="2" t="s">
        <v>106</v>
      </c>
      <c r="E52" s="3" t="n">
        <v>69421</v>
      </c>
    </row>
    <row r="53" customFormat="false" ht="15" hidden="false" customHeight="false" outlineLevel="0" collapsed="false">
      <c r="A53" s="2" t="n">
        <v>2023</v>
      </c>
      <c r="B53" s="2" t="n">
        <v>52</v>
      </c>
      <c r="C53" s="2" t="s">
        <v>107</v>
      </c>
      <c r="D53" s="2" t="s">
        <v>108</v>
      </c>
      <c r="E53" s="3" t="n">
        <v>69421</v>
      </c>
    </row>
    <row r="54" customFormat="false" ht="15" hidden="false" customHeight="false" outlineLevel="0" collapsed="false">
      <c r="A54" s="4" t="n">
        <v>2023</v>
      </c>
      <c r="B54" s="4" t="s">
        <v>109</v>
      </c>
      <c r="C54" s="4"/>
      <c r="D54" s="4"/>
      <c r="E54" s="5" t="n">
        <f aca="false">SUM(E2:E53)</f>
        <v>2797979</v>
      </c>
    </row>
    <row r="55" customFormat="false" ht="15" hidden="false" customHeight="false" outlineLevel="0" collapsed="false">
      <c r="A55" s="2" t="n">
        <v>2024</v>
      </c>
      <c r="B55" s="2" t="n">
        <v>1</v>
      </c>
      <c r="C55" s="2" t="s">
        <v>110</v>
      </c>
      <c r="D55" s="2" t="s">
        <v>111</v>
      </c>
      <c r="E55" s="3" t="n">
        <v>68161</v>
      </c>
    </row>
    <row r="56" customFormat="false" ht="15" hidden="false" customHeight="false" outlineLevel="0" collapsed="false">
      <c r="A56" s="2" t="n">
        <v>2024</v>
      </c>
      <c r="B56" s="2" t="n">
        <v>2</v>
      </c>
      <c r="C56" s="2" t="s">
        <v>112</v>
      </c>
      <c r="D56" s="2" t="s">
        <v>113</v>
      </c>
      <c r="E56" s="3" t="n">
        <v>68161</v>
      </c>
    </row>
    <row r="57" customFormat="false" ht="15" hidden="false" customHeight="false" outlineLevel="0" collapsed="false">
      <c r="A57" s="2" t="n">
        <v>2024</v>
      </c>
      <c r="B57" s="2" t="n">
        <v>3</v>
      </c>
      <c r="C57" s="2" t="s">
        <v>114</v>
      </c>
      <c r="D57" s="2" t="s">
        <v>115</v>
      </c>
      <c r="E57" s="3" t="n">
        <v>68161</v>
      </c>
    </row>
    <row r="58" customFormat="false" ht="15" hidden="false" customHeight="false" outlineLevel="0" collapsed="false">
      <c r="A58" s="2" t="n">
        <v>2024</v>
      </c>
      <c r="B58" s="2" t="n">
        <v>4</v>
      </c>
      <c r="C58" s="2" t="s">
        <v>116</v>
      </c>
      <c r="D58" s="2" t="s">
        <v>117</v>
      </c>
      <c r="E58" s="3" t="n">
        <v>68161</v>
      </c>
    </row>
    <row r="59" customFormat="false" ht="15" hidden="false" customHeight="false" outlineLevel="0" collapsed="false">
      <c r="A59" s="2" t="n">
        <v>2024</v>
      </c>
      <c r="B59" s="2" t="n">
        <v>5</v>
      </c>
      <c r="C59" s="2" t="s">
        <v>118</v>
      </c>
      <c r="D59" s="2" t="s">
        <v>119</v>
      </c>
      <c r="E59" s="3" t="n">
        <v>64134</v>
      </c>
    </row>
    <row r="60" customFormat="false" ht="15" hidden="false" customHeight="false" outlineLevel="0" collapsed="false">
      <c r="A60" s="2" t="n">
        <v>2024</v>
      </c>
      <c r="B60" s="2" t="n">
        <v>6</v>
      </c>
      <c r="C60" s="2" t="s">
        <v>120</v>
      </c>
      <c r="D60" s="2" t="s">
        <v>121</v>
      </c>
      <c r="E60" s="3" t="n">
        <v>61113</v>
      </c>
    </row>
    <row r="61" customFormat="false" ht="15" hidden="false" customHeight="false" outlineLevel="0" collapsed="false">
      <c r="A61" s="2" t="n">
        <v>2024</v>
      </c>
      <c r="B61" s="2" t="n">
        <v>7</v>
      </c>
      <c r="C61" s="2" t="s">
        <v>122</v>
      </c>
      <c r="D61" s="2" t="s">
        <v>123</v>
      </c>
      <c r="E61" s="3" t="n">
        <v>61113</v>
      </c>
    </row>
    <row r="62" customFormat="false" ht="15" hidden="false" customHeight="false" outlineLevel="0" collapsed="false">
      <c r="A62" s="2" t="n">
        <v>2024</v>
      </c>
      <c r="B62" s="2" t="n">
        <v>8</v>
      </c>
      <c r="C62" s="2" t="s">
        <v>124</v>
      </c>
      <c r="D62" s="2" t="s">
        <v>125</v>
      </c>
      <c r="E62" s="3" t="n">
        <v>61113</v>
      </c>
    </row>
    <row r="63" customFormat="false" ht="15" hidden="false" customHeight="false" outlineLevel="0" collapsed="false">
      <c r="A63" s="2" t="n">
        <v>2024</v>
      </c>
      <c r="B63" s="2" t="n">
        <v>9</v>
      </c>
      <c r="C63" s="2" t="s">
        <v>126</v>
      </c>
      <c r="D63" s="2" t="s">
        <v>127</v>
      </c>
      <c r="E63" s="3" t="n">
        <v>60427</v>
      </c>
    </row>
    <row r="64" customFormat="false" ht="15" hidden="false" customHeight="false" outlineLevel="0" collapsed="false">
      <c r="A64" s="2" t="n">
        <v>2024</v>
      </c>
      <c r="B64" s="2" t="n">
        <v>10</v>
      </c>
      <c r="C64" s="2" t="s">
        <v>128</v>
      </c>
      <c r="D64" s="2" t="s">
        <v>129</v>
      </c>
      <c r="E64" s="3" t="n">
        <v>59511</v>
      </c>
    </row>
    <row r="65" customFormat="false" ht="15" hidden="false" customHeight="false" outlineLevel="0" collapsed="false">
      <c r="A65" s="2" t="n">
        <v>2024</v>
      </c>
      <c r="B65" s="2" t="n">
        <v>11</v>
      </c>
      <c r="C65" s="2" t="s">
        <v>130</v>
      </c>
      <c r="D65" s="2" t="s">
        <v>131</v>
      </c>
      <c r="E65" s="3" t="n">
        <v>59511</v>
      </c>
    </row>
    <row r="66" customFormat="false" ht="15" hidden="false" customHeight="false" outlineLevel="0" collapsed="false">
      <c r="A66" s="2" t="n">
        <v>2024</v>
      </c>
      <c r="B66" s="2" t="n">
        <v>12</v>
      </c>
      <c r="C66" s="2" t="s">
        <v>132</v>
      </c>
      <c r="D66" s="2" t="s">
        <v>133</v>
      </c>
      <c r="E66" s="3" t="n">
        <v>59511</v>
      </c>
    </row>
    <row r="67" customFormat="false" ht="15" hidden="false" customHeight="false" outlineLevel="0" collapsed="false">
      <c r="A67" s="2" t="n">
        <v>2024</v>
      </c>
      <c r="B67" s="2" t="n">
        <v>13</v>
      </c>
      <c r="C67" s="2" t="s">
        <v>134</v>
      </c>
      <c r="D67" s="2" t="s">
        <v>135</v>
      </c>
      <c r="E67" s="3" t="n">
        <v>59511</v>
      </c>
    </row>
    <row r="68" customFormat="false" ht="15" hidden="false" customHeight="false" outlineLevel="0" collapsed="false">
      <c r="A68" s="2" t="n">
        <v>2024</v>
      </c>
      <c r="B68" s="2" t="n">
        <v>14</v>
      </c>
      <c r="C68" s="2" t="s">
        <v>136</v>
      </c>
      <c r="D68" s="2" t="s">
        <v>137</v>
      </c>
      <c r="E68" s="3" t="n">
        <v>45207</v>
      </c>
    </row>
    <row r="69" customFormat="false" ht="15" hidden="false" customHeight="false" outlineLevel="0" collapsed="false">
      <c r="A69" s="2" t="n">
        <v>2024</v>
      </c>
      <c r="B69" s="2" t="n">
        <v>15</v>
      </c>
      <c r="C69" s="2" t="s">
        <v>138</v>
      </c>
      <c r="D69" s="2" t="s">
        <v>139</v>
      </c>
      <c r="E69" s="3" t="n">
        <v>45207</v>
      </c>
    </row>
    <row r="70" customFormat="false" ht="15" hidden="false" customHeight="false" outlineLevel="0" collapsed="false">
      <c r="A70" s="2" t="n">
        <v>2024</v>
      </c>
      <c r="B70" s="2" t="n">
        <v>16</v>
      </c>
      <c r="C70" s="2" t="s">
        <v>140</v>
      </c>
      <c r="D70" s="2" t="s">
        <v>141</v>
      </c>
      <c r="E70" s="3" t="n">
        <v>45207</v>
      </c>
    </row>
    <row r="71" customFormat="false" ht="15" hidden="false" customHeight="false" outlineLevel="0" collapsed="false">
      <c r="A71" s="2" t="n">
        <v>2024</v>
      </c>
      <c r="B71" s="2" t="n">
        <v>17</v>
      </c>
      <c r="C71" s="2" t="s">
        <v>142</v>
      </c>
      <c r="D71" s="2" t="s">
        <v>143</v>
      </c>
      <c r="E71" s="3" t="n">
        <v>45207</v>
      </c>
    </row>
    <row r="72" customFormat="false" ht="15" hidden="false" customHeight="false" outlineLevel="0" collapsed="false">
      <c r="A72" s="2" t="n">
        <v>2024</v>
      </c>
      <c r="B72" s="2" t="n">
        <v>18</v>
      </c>
      <c r="C72" s="2" t="s">
        <v>144</v>
      </c>
      <c r="D72" s="2" t="s">
        <v>145</v>
      </c>
      <c r="E72" s="3" t="n">
        <v>64565</v>
      </c>
    </row>
    <row r="73" customFormat="false" ht="15" hidden="false" customHeight="false" outlineLevel="0" collapsed="false">
      <c r="A73" s="2" t="n">
        <v>2024</v>
      </c>
      <c r="B73" s="2" t="n">
        <v>19</v>
      </c>
      <c r="C73" s="2" t="s">
        <v>146</v>
      </c>
      <c r="D73" s="2" t="s">
        <v>147</v>
      </c>
      <c r="E73" s="3" t="n">
        <v>72309</v>
      </c>
    </row>
    <row r="74" customFormat="false" ht="15" hidden="false" customHeight="false" outlineLevel="0" collapsed="false">
      <c r="A74" s="2" t="n">
        <v>2024</v>
      </c>
      <c r="B74" s="2" t="n">
        <v>20</v>
      </c>
      <c r="C74" s="2" t="s">
        <v>148</v>
      </c>
      <c r="D74" s="2" t="s">
        <v>149</v>
      </c>
      <c r="E74" s="3" t="n">
        <v>72309</v>
      </c>
    </row>
    <row r="75" customFormat="false" ht="15" hidden="false" customHeight="false" outlineLevel="0" collapsed="false">
      <c r="A75" s="2" t="n">
        <v>2024</v>
      </c>
      <c r="B75" s="2" t="n">
        <v>21</v>
      </c>
      <c r="C75" s="2" t="s">
        <v>150</v>
      </c>
      <c r="D75" s="2" t="s">
        <v>151</v>
      </c>
      <c r="E75" s="3" t="n">
        <v>72309</v>
      </c>
    </row>
    <row r="76" customFormat="false" ht="15" hidden="false" customHeight="false" outlineLevel="0" collapsed="false">
      <c r="A76" s="2" t="n">
        <v>2024</v>
      </c>
      <c r="B76" s="2" t="n">
        <v>22</v>
      </c>
      <c r="C76" s="2" t="s">
        <v>152</v>
      </c>
      <c r="D76" s="2" t="s">
        <v>153</v>
      </c>
      <c r="E76" s="3" t="n">
        <v>65947</v>
      </c>
    </row>
    <row r="77" customFormat="false" ht="15" hidden="false" customHeight="false" outlineLevel="0" collapsed="false">
      <c r="A77" s="2" t="n">
        <v>2024</v>
      </c>
      <c r="B77" s="2" t="n">
        <v>23</v>
      </c>
      <c r="C77" s="2" t="s">
        <v>154</v>
      </c>
      <c r="D77" s="2" t="s">
        <v>155</v>
      </c>
      <c r="E77" s="3" t="n">
        <v>50044</v>
      </c>
    </row>
    <row r="78" customFormat="false" ht="15" hidden="false" customHeight="false" outlineLevel="0" collapsed="false">
      <c r="A78" s="2" t="n">
        <v>2024</v>
      </c>
      <c r="B78" s="2" t="n">
        <v>24</v>
      </c>
      <c r="C78" s="2" t="s">
        <v>156</v>
      </c>
      <c r="D78" s="2" t="s">
        <v>157</v>
      </c>
      <c r="E78" s="3" t="n">
        <v>50044</v>
      </c>
    </row>
    <row r="79" customFormat="false" ht="15" hidden="false" customHeight="false" outlineLevel="0" collapsed="false">
      <c r="A79" s="2" t="n">
        <v>2024</v>
      </c>
      <c r="B79" s="2" t="n">
        <v>25</v>
      </c>
      <c r="C79" s="2" t="s">
        <v>158</v>
      </c>
      <c r="D79" s="2" t="s">
        <v>159</v>
      </c>
      <c r="E79" s="3" t="n">
        <v>50044</v>
      </c>
    </row>
    <row r="80" customFormat="false" ht="15" hidden="false" customHeight="false" outlineLevel="0" collapsed="false">
      <c r="A80" s="2" t="n">
        <v>2024</v>
      </c>
      <c r="B80" s="2" t="n">
        <v>26</v>
      </c>
      <c r="C80" s="2" t="s">
        <v>160</v>
      </c>
      <c r="D80" s="2" t="s">
        <v>161</v>
      </c>
      <c r="E80" s="3" t="n">
        <v>50044</v>
      </c>
    </row>
    <row r="81" customFormat="false" ht="15" hidden="false" customHeight="false" outlineLevel="0" collapsed="false">
      <c r="A81" s="2" t="n">
        <v>2024</v>
      </c>
      <c r="B81" s="2" t="n">
        <v>27</v>
      </c>
      <c r="C81" s="2" t="s">
        <v>162</v>
      </c>
      <c r="D81" s="2" t="s">
        <v>163</v>
      </c>
      <c r="E81" s="3" t="n">
        <v>63566</v>
      </c>
    </row>
    <row r="82" customFormat="false" ht="15" hidden="false" customHeight="false" outlineLevel="0" collapsed="false">
      <c r="A82" s="2" t="n">
        <v>2024</v>
      </c>
      <c r="B82" s="2" t="n">
        <v>28</v>
      </c>
      <c r="C82" s="2" t="s">
        <v>164</v>
      </c>
      <c r="D82" s="2" t="s">
        <v>165</v>
      </c>
      <c r="E82" s="3" t="n">
        <v>63566</v>
      </c>
    </row>
    <row r="83" customFormat="false" ht="15" hidden="false" customHeight="false" outlineLevel="0" collapsed="false">
      <c r="A83" s="2" t="n">
        <v>2024</v>
      </c>
      <c r="B83" s="2" t="n">
        <v>29</v>
      </c>
      <c r="C83" s="2" t="s">
        <v>166</v>
      </c>
      <c r="D83" s="2" t="s">
        <v>167</v>
      </c>
      <c r="E83" s="3" t="n">
        <v>63566</v>
      </c>
    </row>
    <row r="84" customFormat="false" ht="15" hidden="false" customHeight="false" outlineLevel="0" collapsed="false">
      <c r="A84" s="2" t="n">
        <v>2024</v>
      </c>
      <c r="B84" s="2" t="n">
        <v>30</v>
      </c>
      <c r="C84" s="2" t="s">
        <v>168</v>
      </c>
      <c r="D84" s="2" t="s">
        <v>169</v>
      </c>
      <c r="E84" s="3" t="n">
        <v>63566</v>
      </c>
    </row>
    <row r="85" customFormat="false" ht="15" hidden="false" customHeight="false" outlineLevel="0" collapsed="false">
      <c r="A85" s="2" t="n">
        <v>2024</v>
      </c>
      <c r="B85" s="2" t="n">
        <v>31</v>
      </c>
      <c r="C85" s="2" t="s">
        <v>170</v>
      </c>
      <c r="D85" s="2" t="s">
        <v>171</v>
      </c>
      <c r="E85" s="3" t="n">
        <v>78802</v>
      </c>
    </row>
    <row r="86" customFormat="false" ht="15" hidden="false" customHeight="false" outlineLevel="0" collapsed="false">
      <c r="A86" s="2" t="n">
        <v>2024</v>
      </c>
      <c r="B86" s="2" t="n">
        <v>32</v>
      </c>
      <c r="C86" s="2" t="s">
        <v>172</v>
      </c>
      <c r="D86" s="2" t="s">
        <v>173</v>
      </c>
      <c r="E86" s="3" t="n">
        <v>90228</v>
      </c>
    </row>
    <row r="87" customFormat="false" ht="15" hidden="false" customHeight="false" outlineLevel="0" collapsed="false">
      <c r="A87" s="2" t="n">
        <v>2024</v>
      </c>
      <c r="B87" s="2" t="n">
        <v>33</v>
      </c>
      <c r="C87" s="2" t="s">
        <v>174</v>
      </c>
      <c r="D87" s="2" t="s">
        <v>175</v>
      </c>
      <c r="E87" s="3" t="n">
        <v>90228</v>
      </c>
    </row>
    <row r="88" customFormat="false" ht="15" hidden="false" customHeight="false" outlineLevel="0" collapsed="false">
      <c r="A88" s="2" t="n">
        <v>2024</v>
      </c>
      <c r="B88" s="2" t="n">
        <v>34</v>
      </c>
      <c r="C88" s="2" t="s">
        <v>176</v>
      </c>
      <c r="D88" s="2" t="s">
        <v>177</v>
      </c>
      <c r="E88" s="3" t="n">
        <v>90228</v>
      </c>
    </row>
    <row r="89" customFormat="false" ht="15" hidden="false" customHeight="false" outlineLevel="0" collapsed="false">
      <c r="A89" s="2" t="n">
        <v>2024</v>
      </c>
      <c r="B89" s="2" t="n">
        <v>35</v>
      </c>
      <c r="C89" s="2" t="s">
        <v>178</v>
      </c>
      <c r="D89" s="2" t="s">
        <v>179</v>
      </c>
      <c r="E89" s="3" t="n">
        <v>87733</v>
      </c>
    </row>
    <row r="90" customFormat="false" ht="15" hidden="false" customHeight="false" outlineLevel="0" collapsed="false">
      <c r="A90" s="2" t="n">
        <v>2024</v>
      </c>
      <c r="B90" s="2" t="n">
        <v>36</v>
      </c>
      <c r="C90" s="2" t="s">
        <v>180</v>
      </c>
      <c r="D90" s="2" t="s">
        <v>181</v>
      </c>
      <c r="E90" s="3" t="n">
        <v>72764</v>
      </c>
    </row>
    <row r="91" customFormat="false" ht="15" hidden="false" customHeight="false" outlineLevel="0" collapsed="false">
      <c r="A91" s="2" t="n">
        <v>2024</v>
      </c>
      <c r="B91" s="2" t="n">
        <v>37</v>
      </c>
      <c r="C91" s="2" t="s">
        <v>182</v>
      </c>
      <c r="D91" s="2" t="s">
        <v>183</v>
      </c>
      <c r="E91" s="3" t="n">
        <v>72764</v>
      </c>
    </row>
    <row r="92" customFormat="false" ht="15" hidden="false" customHeight="false" outlineLevel="0" collapsed="false">
      <c r="A92" s="2" t="n">
        <v>2024</v>
      </c>
      <c r="B92" s="2" t="n">
        <v>38</v>
      </c>
      <c r="C92" s="2" t="s">
        <v>184</v>
      </c>
      <c r="D92" s="2" t="s">
        <v>185</v>
      </c>
      <c r="E92" s="3" t="n">
        <v>72764</v>
      </c>
    </row>
    <row r="93" customFormat="false" ht="15" hidden="false" customHeight="false" outlineLevel="0" collapsed="false">
      <c r="A93" s="2" t="n">
        <v>2024</v>
      </c>
      <c r="B93" s="2" t="n">
        <v>39</v>
      </c>
      <c r="C93" s="2" t="s">
        <v>186</v>
      </c>
      <c r="D93" s="2" t="s">
        <v>187</v>
      </c>
      <c r="E93" s="3" t="n">
        <v>72764</v>
      </c>
    </row>
    <row r="94" customFormat="false" ht="15" hidden="false" customHeight="false" outlineLevel="0" collapsed="false">
      <c r="A94" s="2" t="n">
        <v>2024</v>
      </c>
      <c r="B94" s="2" t="n">
        <v>40</v>
      </c>
      <c r="C94" s="2" t="s">
        <v>188</v>
      </c>
      <c r="D94" s="2" t="s">
        <v>189</v>
      </c>
      <c r="E94" s="3" t="n">
        <v>76416</v>
      </c>
    </row>
    <row r="95" customFormat="false" ht="15" hidden="false" customHeight="false" outlineLevel="0" collapsed="false">
      <c r="A95" s="2" t="n">
        <v>2024</v>
      </c>
      <c r="B95" s="2" t="n">
        <v>41</v>
      </c>
      <c r="C95" s="2" t="s">
        <v>190</v>
      </c>
      <c r="D95" s="2" t="s">
        <v>191</v>
      </c>
      <c r="E95" s="3" t="n">
        <v>77025</v>
      </c>
    </row>
    <row r="96" customFormat="false" ht="15" hidden="false" customHeight="false" outlineLevel="0" collapsed="false">
      <c r="A96" s="2" t="n">
        <v>2024</v>
      </c>
      <c r="B96" s="2" t="n">
        <v>42</v>
      </c>
      <c r="C96" s="2" t="s">
        <v>192</v>
      </c>
      <c r="D96" s="2" t="s">
        <v>193</v>
      </c>
      <c r="E96" s="3" t="n">
        <v>77025</v>
      </c>
    </row>
    <row r="97" customFormat="false" ht="15" hidden="false" customHeight="false" outlineLevel="0" collapsed="false">
      <c r="A97" s="2" t="n">
        <v>2024</v>
      </c>
      <c r="B97" s="2" t="n">
        <v>43</v>
      </c>
      <c r="C97" s="2" t="s">
        <v>194</v>
      </c>
      <c r="D97" s="2" t="s">
        <v>195</v>
      </c>
      <c r="E97" s="3" t="n">
        <v>77025</v>
      </c>
    </row>
    <row r="98" customFormat="false" ht="15" hidden="false" customHeight="false" outlineLevel="0" collapsed="false">
      <c r="A98" s="2" t="n">
        <v>2024</v>
      </c>
      <c r="B98" s="2" t="n">
        <v>44</v>
      </c>
      <c r="C98" s="2" t="s">
        <v>196</v>
      </c>
      <c r="D98" s="2" t="s">
        <v>197</v>
      </c>
      <c r="E98" s="3" t="n">
        <v>72281</v>
      </c>
    </row>
    <row r="99" customFormat="false" ht="15" hidden="false" customHeight="false" outlineLevel="0" collapsed="false">
      <c r="A99" s="2" t="n">
        <v>2024</v>
      </c>
      <c r="B99" s="2" t="n">
        <v>45</v>
      </c>
      <c r="C99" s="2" t="s">
        <v>198</v>
      </c>
      <c r="D99" s="2" t="s">
        <v>199</v>
      </c>
      <c r="E99" s="3" t="n">
        <v>65957</v>
      </c>
    </row>
    <row r="100" customFormat="false" ht="15" hidden="false" customHeight="false" outlineLevel="0" collapsed="false">
      <c r="A100" s="2" t="n">
        <v>2024</v>
      </c>
      <c r="B100" s="2" t="n">
        <v>46</v>
      </c>
      <c r="C100" s="2" t="s">
        <v>200</v>
      </c>
      <c r="D100" s="2" t="s">
        <v>201</v>
      </c>
      <c r="E100" s="3" t="n">
        <v>65957</v>
      </c>
    </row>
    <row r="101" customFormat="false" ht="15" hidden="false" customHeight="false" outlineLevel="0" collapsed="false">
      <c r="A101" s="2" t="n">
        <v>2024</v>
      </c>
      <c r="B101" s="2" t="n">
        <v>47</v>
      </c>
      <c r="C101" s="2" t="s">
        <v>202</v>
      </c>
      <c r="D101" s="2" t="s">
        <v>203</v>
      </c>
      <c r="E101" s="3" t="n">
        <v>65957</v>
      </c>
    </row>
    <row r="102" customFormat="false" ht="15" hidden="false" customHeight="false" outlineLevel="0" collapsed="false">
      <c r="A102" s="2" t="n">
        <v>2024</v>
      </c>
      <c r="B102" s="2" t="n">
        <v>48</v>
      </c>
      <c r="C102" s="2" t="s">
        <v>204</v>
      </c>
      <c r="D102" s="2" t="s">
        <v>205</v>
      </c>
      <c r="E102" s="3" t="n">
        <v>64923</v>
      </c>
    </row>
    <row r="103" customFormat="false" ht="15" hidden="false" customHeight="false" outlineLevel="0" collapsed="false">
      <c r="A103" s="2" t="n">
        <v>2024</v>
      </c>
      <c r="B103" s="2" t="n">
        <v>49</v>
      </c>
      <c r="C103" s="2" t="s">
        <v>206</v>
      </c>
      <c r="D103" s="2" t="s">
        <v>207</v>
      </c>
      <c r="E103" s="3" t="n">
        <v>58719</v>
      </c>
    </row>
    <row r="104" customFormat="false" ht="15" hidden="false" customHeight="false" outlineLevel="0" collapsed="false">
      <c r="A104" s="2" t="n">
        <v>2024</v>
      </c>
      <c r="B104" s="2" t="n">
        <v>50</v>
      </c>
      <c r="C104" s="2" t="s">
        <v>208</v>
      </c>
      <c r="D104" s="2" t="s">
        <v>209</v>
      </c>
      <c r="E104" s="3" t="n">
        <v>58719</v>
      </c>
    </row>
    <row r="105" customFormat="false" ht="15" hidden="false" customHeight="false" outlineLevel="0" collapsed="false">
      <c r="A105" s="2" t="n">
        <v>2024</v>
      </c>
      <c r="B105" s="2" t="n">
        <v>51</v>
      </c>
      <c r="C105" s="2" t="s">
        <v>210</v>
      </c>
      <c r="D105" s="2" t="s">
        <v>211</v>
      </c>
      <c r="E105" s="3" t="n">
        <v>58719</v>
      </c>
    </row>
    <row r="106" customFormat="false" ht="15" hidden="false" customHeight="false" outlineLevel="0" collapsed="false">
      <c r="A106" s="2" t="n">
        <v>2024</v>
      </c>
      <c r="B106" s="2" t="n">
        <v>52</v>
      </c>
      <c r="C106" s="2" t="s">
        <v>212</v>
      </c>
      <c r="D106" s="2" t="s">
        <v>213</v>
      </c>
      <c r="E106" s="3" t="n">
        <v>58719</v>
      </c>
    </row>
    <row r="107" customFormat="false" ht="15" hidden="false" customHeight="false" outlineLevel="0" collapsed="false">
      <c r="A107" s="4" t="n">
        <v>2024</v>
      </c>
      <c r="B107" s="4" t="s">
        <v>109</v>
      </c>
      <c r="C107" s="4"/>
      <c r="D107" s="4"/>
      <c r="E107" s="5" t="n">
        <f aca="false">SUM(E55:E106)</f>
        <v>3407012</v>
      </c>
    </row>
    <row r="108" customFormat="false" ht="15" hidden="false" customHeight="false" outlineLevel="0" collapsed="false">
      <c r="A108" s="2" t="n">
        <v>2025</v>
      </c>
      <c r="B108" s="2" t="n">
        <v>1</v>
      </c>
      <c r="C108" s="2" t="s">
        <v>214</v>
      </c>
      <c r="D108" s="2" t="s">
        <v>215</v>
      </c>
      <c r="E108" s="3" t="n">
        <v>70311</v>
      </c>
    </row>
    <row r="109" customFormat="false" ht="15" hidden="false" customHeight="false" outlineLevel="0" collapsed="false">
      <c r="A109" s="2" t="n">
        <v>2025</v>
      </c>
      <c r="B109" s="2" t="n">
        <v>2</v>
      </c>
      <c r="C109" s="2" t="s">
        <v>216</v>
      </c>
      <c r="D109" s="2" t="s">
        <v>217</v>
      </c>
      <c r="E109" s="3" t="n">
        <v>74948</v>
      </c>
    </row>
    <row r="110" customFormat="false" ht="15" hidden="false" customHeight="false" outlineLevel="0" collapsed="false">
      <c r="A110" s="2" t="n">
        <v>2025</v>
      </c>
      <c r="B110" s="2" t="n">
        <v>3</v>
      </c>
      <c r="C110" s="2" t="s">
        <v>218</v>
      </c>
      <c r="D110" s="2" t="s">
        <v>219</v>
      </c>
      <c r="E110" s="3" t="n">
        <v>74948</v>
      </c>
    </row>
    <row r="111" customFormat="false" ht="15" hidden="false" customHeight="false" outlineLevel="0" collapsed="false">
      <c r="A111" s="2" t="n">
        <v>2025</v>
      </c>
      <c r="B111" s="2" t="n">
        <v>4</v>
      </c>
      <c r="C111" s="2" t="s">
        <v>220</v>
      </c>
      <c r="D111" s="2" t="s">
        <v>221</v>
      </c>
      <c r="E111" s="3" t="n">
        <v>74948</v>
      </c>
    </row>
    <row r="112" customFormat="false" ht="15" hidden="false" customHeight="false" outlineLevel="0" collapsed="false">
      <c r="A112" s="2" t="n">
        <v>2025</v>
      </c>
      <c r="B112" s="2" t="n">
        <v>5</v>
      </c>
      <c r="C112" s="2" t="s">
        <v>222</v>
      </c>
      <c r="D112" s="2" t="s">
        <v>223</v>
      </c>
      <c r="E112" s="3" t="n">
        <v>79069</v>
      </c>
    </row>
    <row r="113" customFormat="false" ht="15" hidden="false" customHeight="false" outlineLevel="0" collapsed="false">
      <c r="A113" s="2" t="n">
        <v>2025</v>
      </c>
      <c r="B113" s="2" t="n">
        <v>6</v>
      </c>
      <c r="C113" s="2" t="s">
        <v>224</v>
      </c>
      <c r="D113" s="2" t="s">
        <v>225</v>
      </c>
      <c r="E113" s="3" t="n">
        <v>89372</v>
      </c>
    </row>
    <row r="114" customFormat="false" ht="15" hidden="false" customHeight="false" outlineLevel="0" collapsed="false">
      <c r="A114" s="2" t="n">
        <v>2025</v>
      </c>
      <c r="B114" s="2" t="n">
        <v>7</v>
      </c>
      <c r="C114" s="2" t="s">
        <v>226</v>
      </c>
      <c r="D114" s="2" t="s">
        <v>227</v>
      </c>
      <c r="E114" s="3" t="n">
        <v>89372</v>
      </c>
    </row>
    <row r="115" customFormat="false" ht="15" hidden="false" customHeight="false" outlineLevel="0" collapsed="false">
      <c r="A115" s="2" t="n">
        <v>2025</v>
      </c>
      <c r="B115" s="2" t="n">
        <v>8</v>
      </c>
      <c r="C115" s="2" t="s">
        <v>228</v>
      </c>
      <c r="D115" s="2" t="s">
        <v>229</v>
      </c>
      <c r="E115" s="3" t="n">
        <v>89372</v>
      </c>
    </row>
    <row r="116" customFormat="false" ht="15" hidden="false" customHeight="false" outlineLevel="0" collapsed="false">
      <c r="A116" s="2" t="n">
        <v>2025</v>
      </c>
      <c r="B116" s="2" t="n">
        <v>9</v>
      </c>
      <c r="C116" s="2" t="s">
        <v>230</v>
      </c>
      <c r="D116" s="2" t="s">
        <v>231</v>
      </c>
      <c r="E116" s="3" t="n">
        <v>85659</v>
      </c>
    </row>
    <row r="117" customFormat="false" ht="15" hidden="false" customHeight="false" outlineLevel="0" collapsed="false">
      <c r="A117" s="2" t="n">
        <v>2025</v>
      </c>
      <c r="B117" s="2" t="n">
        <v>10</v>
      </c>
      <c r="C117" s="2" t="s">
        <v>232</v>
      </c>
      <c r="D117" s="2" t="s">
        <v>233</v>
      </c>
      <c r="E117" s="3" t="n">
        <v>76377</v>
      </c>
    </row>
    <row r="118" customFormat="false" ht="15" hidden="false" customHeight="false" outlineLevel="0" collapsed="false">
      <c r="A118" s="2" t="n">
        <v>2025</v>
      </c>
      <c r="B118" s="2" t="n">
        <v>11</v>
      </c>
      <c r="C118" s="2" t="s">
        <v>234</v>
      </c>
      <c r="D118" s="2" t="s">
        <v>235</v>
      </c>
      <c r="E118" s="3" t="n">
        <v>76377</v>
      </c>
    </row>
    <row r="119" customFormat="false" ht="15" hidden="false" customHeight="false" outlineLevel="0" collapsed="false">
      <c r="A119" s="2" t="n">
        <v>2025</v>
      </c>
      <c r="B119" s="2" t="n">
        <v>12</v>
      </c>
      <c r="C119" s="2" t="s">
        <v>236</v>
      </c>
      <c r="D119" s="2" t="s">
        <v>237</v>
      </c>
      <c r="E119" s="3" t="n">
        <v>76377</v>
      </c>
    </row>
    <row r="120" customFormat="false" ht="15" hidden="false" customHeight="false" outlineLevel="0" collapsed="false">
      <c r="A120" s="2" t="n">
        <v>2025</v>
      </c>
      <c r="B120" s="2" t="n">
        <v>13</v>
      </c>
      <c r="C120" s="2" t="s">
        <v>238</v>
      </c>
      <c r="D120" s="2" t="s">
        <v>239</v>
      </c>
      <c r="E120" s="3" t="n">
        <v>76377</v>
      </c>
    </row>
    <row r="121" customFormat="false" ht="15" hidden="false" customHeight="false" outlineLevel="0" collapsed="false">
      <c r="A121" s="2" t="n">
        <v>2025</v>
      </c>
      <c r="B121" s="2" t="n">
        <v>14</v>
      </c>
      <c r="C121" s="2" t="s">
        <v>240</v>
      </c>
      <c r="D121" s="2" t="s">
        <v>241</v>
      </c>
      <c r="E121" s="3" t="n">
        <v>74737</v>
      </c>
    </row>
    <row r="122" customFormat="false" ht="15" hidden="false" customHeight="false" outlineLevel="0" collapsed="false">
      <c r="A122" s="2" t="n">
        <v>2025</v>
      </c>
      <c r="B122" s="2" t="n">
        <v>15</v>
      </c>
      <c r="C122" s="2" t="s">
        <v>242</v>
      </c>
      <c r="D122" s="2" t="s">
        <v>243</v>
      </c>
      <c r="E122" s="3" t="n">
        <v>74464</v>
      </c>
    </row>
    <row r="123" customFormat="false" ht="15" hidden="false" customHeight="false" outlineLevel="0" collapsed="false">
      <c r="A123" s="2" t="n">
        <v>2025</v>
      </c>
      <c r="B123" s="2" t="n">
        <v>16</v>
      </c>
      <c r="C123" s="2" t="s">
        <v>244</v>
      </c>
      <c r="D123" s="2" t="s">
        <v>245</v>
      </c>
      <c r="E123" s="3" t="n">
        <v>74464</v>
      </c>
    </row>
    <row r="124" customFormat="false" ht="15" hidden="false" customHeight="false" outlineLevel="0" collapsed="false">
      <c r="A124" s="2" t="n">
        <v>2025</v>
      </c>
      <c r="B124" s="2" t="n">
        <v>17</v>
      </c>
      <c r="C124" s="2" t="s">
        <v>246</v>
      </c>
      <c r="D124" s="2" t="s">
        <v>247</v>
      </c>
      <c r="E124" s="3" t="n">
        <v>74464</v>
      </c>
    </row>
    <row r="125" customFormat="false" ht="15" hidden="false" customHeight="false" outlineLevel="0" collapsed="false">
      <c r="A125" s="2" t="n">
        <v>2025</v>
      </c>
      <c r="B125" s="2" t="n">
        <v>18</v>
      </c>
      <c r="C125" s="2" t="s">
        <v>248</v>
      </c>
      <c r="D125" s="2" t="s">
        <v>249</v>
      </c>
      <c r="E125" s="3" t="n">
        <v>72602</v>
      </c>
    </row>
    <row r="126" customFormat="false" ht="15" hidden="false" customHeight="false" outlineLevel="0" collapsed="false">
      <c r="A126" s="2" t="n">
        <v>2025</v>
      </c>
      <c r="B126" s="2" t="n">
        <v>19</v>
      </c>
      <c r="C126" s="2" t="s">
        <v>250</v>
      </c>
      <c r="D126" s="2" t="s">
        <v>251</v>
      </c>
      <c r="E126" s="3" t="n">
        <v>71206</v>
      </c>
    </row>
    <row r="127" customFormat="false" ht="15" hidden="false" customHeight="false" outlineLevel="0" collapsed="false">
      <c r="A127" s="2" t="n">
        <v>2025</v>
      </c>
      <c r="B127" s="2" t="n">
        <v>20</v>
      </c>
      <c r="C127" s="2" t="s">
        <v>252</v>
      </c>
      <c r="D127" s="2" t="s">
        <v>253</v>
      </c>
      <c r="E127" s="3" t="n">
        <v>71206</v>
      </c>
    </row>
    <row r="128" customFormat="false" ht="15" hidden="false" customHeight="false" outlineLevel="0" collapsed="false">
      <c r="A128" s="2" t="n">
        <v>2025</v>
      </c>
      <c r="B128" s="2" t="n">
        <v>21</v>
      </c>
      <c r="C128" s="2" t="s">
        <v>254</v>
      </c>
      <c r="D128" s="2" t="s">
        <v>255</v>
      </c>
      <c r="E128" s="3" t="n">
        <v>71206</v>
      </c>
    </row>
    <row r="129" customFormat="false" ht="15" hidden="false" customHeight="false" outlineLevel="0" collapsed="false">
      <c r="A129" s="2" t="n">
        <v>2025</v>
      </c>
      <c r="B129" s="2" t="n">
        <v>22</v>
      </c>
      <c r="C129" s="2" t="s">
        <v>256</v>
      </c>
      <c r="D129" s="2" t="s">
        <v>257</v>
      </c>
      <c r="E129" s="3" t="n">
        <v>73098</v>
      </c>
    </row>
    <row r="130" customFormat="false" ht="15" hidden="false" customHeight="false" outlineLevel="0" collapsed="false">
      <c r="A130" s="2" t="n">
        <v>2025</v>
      </c>
      <c r="B130" s="2" t="n">
        <v>23</v>
      </c>
      <c r="C130" s="2" t="s">
        <v>258</v>
      </c>
      <c r="D130" s="2" t="s">
        <v>259</v>
      </c>
      <c r="E130" s="3" t="n">
        <v>84455</v>
      </c>
    </row>
    <row r="131" customFormat="false" ht="15" hidden="false" customHeight="false" outlineLevel="0" collapsed="false">
      <c r="A131" s="2" t="n">
        <v>2025</v>
      </c>
      <c r="B131" s="2" t="n">
        <v>24</v>
      </c>
      <c r="C131" s="2" t="s">
        <v>260</v>
      </c>
      <c r="D131" s="2" t="s">
        <v>261</v>
      </c>
      <c r="E131" s="3" t="n">
        <v>84455</v>
      </c>
    </row>
    <row r="132" customFormat="false" ht="15" hidden="false" customHeight="false" outlineLevel="0" collapsed="false">
      <c r="A132" s="2" t="n">
        <v>2025</v>
      </c>
      <c r="B132" s="2" t="n">
        <v>25</v>
      </c>
      <c r="C132" s="2" t="s">
        <v>262</v>
      </c>
      <c r="D132" s="2" t="s">
        <v>263</v>
      </c>
      <c r="E132" s="3" t="n">
        <v>84455</v>
      </c>
    </row>
    <row r="133" customFormat="false" ht="15" hidden="false" customHeight="false" outlineLevel="0" collapsed="false">
      <c r="A133" s="2" t="n">
        <v>2025</v>
      </c>
      <c r="B133" s="2" t="n">
        <v>26</v>
      </c>
      <c r="C133" s="2" t="s">
        <v>264</v>
      </c>
      <c r="D133" s="2" t="s">
        <v>265</v>
      </c>
      <c r="E133" s="3" t="n">
        <v>84455</v>
      </c>
    </row>
    <row r="134" customFormat="false" ht="15" hidden="false" customHeight="false" outlineLevel="0" collapsed="false">
      <c r="A134" s="2" t="n">
        <v>2025</v>
      </c>
      <c r="B134" s="2" t="n">
        <v>27</v>
      </c>
      <c r="C134" s="2" t="s">
        <v>266</v>
      </c>
      <c r="D134" s="2" t="s">
        <v>267</v>
      </c>
      <c r="E134" s="3" t="n">
        <v>93823</v>
      </c>
    </row>
    <row r="135" customFormat="false" ht="15" hidden="false" customHeight="false" outlineLevel="0" collapsed="false">
      <c r="A135" s="2" t="n">
        <v>2025</v>
      </c>
      <c r="B135" s="2" t="n">
        <v>28</v>
      </c>
      <c r="C135" s="2" t="s">
        <v>268</v>
      </c>
      <c r="D135" s="2" t="s">
        <v>269</v>
      </c>
      <c r="E135" s="3" t="n">
        <v>95384</v>
      </c>
    </row>
    <row r="136" customFormat="false" ht="15" hidden="false" customHeight="false" outlineLevel="0" collapsed="false">
      <c r="A136" s="2" t="n">
        <v>2025</v>
      </c>
      <c r="B136" s="2" t="n">
        <v>29</v>
      </c>
      <c r="C136" s="2" t="s">
        <v>270</v>
      </c>
      <c r="D136" s="2" t="s">
        <v>271</v>
      </c>
      <c r="E136" s="3" t="n">
        <v>95384</v>
      </c>
    </row>
    <row r="137" customFormat="false" ht="15" hidden="false" customHeight="false" outlineLevel="0" collapsed="false">
      <c r="A137" s="2" t="n">
        <v>2025</v>
      </c>
      <c r="B137" s="2" t="n">
        <v>30</v>
      </c>
      <c r="C137" s="2" t="s">
        <v>272</v>
      </c>
      <c r="D137" s="2" t="s">
        <v>273</v>
      </c>
      <c r="E137" s="3" t="n">
        <v>95384</v>
      </c>
    </row>
    <row r="138" customFormat="false" ht="15" hidden="false" customHeight="false" outlineLevel="0" collapsed="false">
      <c r="A138" s="2" t="n">
        <v>2025</v>
      </c>
      <c r="B138" s="2" t="n">
        <v>31</v>
      </c>
      <c r="C138" s="2" t="s">
        <v>274</v>
      </c>
      <c r="D138" s="2" t="s">
        <v>275</v>
      </c>
      <c r="E138" s="3" t="n">
        <v>99680</v>
      </c>
    </row>
    <row r="139" customFormat="false" ht="15" hidden="false" customHeight="false" outlineLevel="0" collapsed="false">
      <c r="A139" s="2" t="n">
        <v>2025</v>
      </c>
      <c r="B139" s="2" t="n">
        <v>32</v>
      </c>
      <c r="C139" s="2" t="s">
        <v>276</v>
      </c>
      <c r="D139" s="2" t="s">
        <v>277</v>
      </c>
      <c r="E139" s="3" t="n">
        <v>105409</v>
      </c>
    </row>
    <row r="140" customFormat="false" ht="15" hidden="false" customHeight="false" outlineLevel="0" collapsed="false">
      <c r="A140" s="2" t="n">
        <v>2025</v>
      </c>
      <c r="B140" s="2" t="n">
        <v>33</v>
      </c>
      <c r="C140" s="2" t="s">
        <v>278</v>
      </c>
      <c r="D140" s="2" t="s">
        <v>279</v>
      </c>
      <c r="E140" s="3" t="n">
        <v>105409</v>
      </c>
    </row>
    <row r="141" customFormat="false" ht="15" hidden="false" customHeight="false" outlineLevel="0" collapsed="false">
      <c r="A141" s="2" t="n">
        <v>2025</v>
      </c>
      <c r="B141" s="2" t="n">
        <v>34</v>
      </c>
      <c r="C141" s="2" t="s">
        <v>280</v>
      </c>
      <c r="D141" s="2" t="s">
        <v>281</v>
      </c>
      <c r="E141" s="3" t="n">
        <v>105409</v>
      </c>
    </row>
    <row r="142" customFormat="false" ht="15" hidden="false" customHeight="false" outlineLevel="0" collapsed="false">
      <c r="A142" s="2" t="n">
        <v>2025</v>
      </c>
      <c r="B142" s="2" t="n">
        <v>35</v>
      </c>
      <c r="C142" s="2" t="s">
        <v>282</v>
      </c>
      <c r="D142" s="2" t="s">
        <v>283</v>
      </c>
      <c r="E142" s="3" t="n">
        <v>105409</v>
      </c>
    </row>
    <row r="143" customFormat="false" ht="15" hidden="false" customHeight="false" outlineLevel="0" collapsed="false">
      <c r="A143" s="2" t="n">
        <v>2025</v>
      </c>
      <c r="B143" s="2" t="n">
        <v>36</v>
      </c>
      <c r="C143" s="2" t="s">
        <v>284</v>
      </c>
      <c r="D143" s="2" t="s">
        <v>285</v>
      </c>
      <c r="E143" s="3" t="n">
        <v>102963</v>
      </c>
    </row>
    <row r="144" customFormat="false" ht="15" hidden="false" customHeight="false" outlineLevel="0" collapsed="false">
      <c r="A144" s="2" t="n">
        <v>2025</v>
      </c>
      <c r="B144" s="2" t="n">
        <v>37</v>
      </c>
      <c r="C144" s="2" t="s">
        <v>286</v>
      </c>
      <c r="D144" s="2" t="s">
        <v>287</v>
      </c>
      <c r="E144" s="3" t="n">
        <v>102963</v>
      </c>
    </row>
    <row r="145" customFormat="false" ht="15" hidden="false" customHeight="false" outlineLevel="0" collapsed="false">
      <c r="A145" s="2" t="n">
        <v>2025</v>
      </c>
      <c r="B145" s="2" t="n">
        <v>38</v>
      </c>
      <c r="C145" s="2" t="s">
        <v>288</v>
      </c>
      <c r="D145" s="2" t="s">
        <v>289</v>
      </c>
      <c r="E145" s="3" t="n">
        <v>102963</v>
      </c>
    </row>
    <row r="146" customFormat="false" ht="15" hidden="false" customHeight="false" outlineLevel="0" collapsed="false">
      <c r="A146" s="2" t="n">
        <v>2025</v>
      </c>
      <c r="B146" s="2" t="n">
        <v>39</v>
      </c>
      <c r="C146" s="2" t="s">
        <v>290</v>
      </c>
      <c r="D146" s="2" t="s">
        <v>291</v>
      </c>
      <c r="E146" s="3" t="n">
        <v>102963</v>
      </c>
    </row>
    <row r="147" customFormat="false" ht="15" hidden="false" customHeight="false" outlineLevel="0" collapsed="false">
      <c r="A147" s="2" t="n">
        <v>2025</v>
      </c>
      <c r="B147" s="2" t="n">
        <v>40</v>
      </c>
      <c r="C147" s="2" t="s">
        <v>292</v>
      </c>
      <c r="D147" s="2" t="s">
        <v>293</v>
      </c>
      <c r="E147" s="3" t="n">
        <v>79900</v>
      </c>
    </row>
    <row r="148" customFormat="false" ht="15" hidden="false" customHeight="false" outlineLevel="0" collapsed="false">
      <c r="A148" s="2" t="n">
        <v>2025</v>
      </c>
      <c r="B148" s="2" t="n">
        <v>41</v>
      </c>
      <c r="C148" s="2" t="s">
        <v>294</v>
      </c>
      <c r="D148" s="2" t="s">
        <v>295</v>
      </c>
      <c r="E148" s="3" t="n">
        <v>70675</v>
      </c>
    </row>
    <row r="149" customFormat="false" ht="15" hidden="false" customHeight="false" outlineLevel="0" collapsed="false">
      <c r="A149" s="2" t="n">
        <v>2025</v>
      </c>
      <c r="B149" s="2" t="n">
        <v>42</v>
      </c>
      <c r="C149" s="2" t="s">
        <v>296</v>
      </c>
      <c r="D149" s="2" t="s">
        <v>297</v>
      </c>
      <c r="E149" s="3" t="n">
        <v>70675</v>
      </c>
    </row>
    <row r="150" customFormat="false" ht="15" hidden="false" customHeight="false" outlineLevel="0" collapsed="false">
      <c r="A150" s="2" t="n">
        <v>2025</v>
      </c>
      <c r="B150" s="2" t="n">
        <v>43</v>
      </c>
      <c r="C150" s="2" t="s">
        <v>298</v>
      </c>
      <c r="D150" s="2" t="s">
        <v>299</v>
      </c>
      <c r="E150" s="3" t="n">
        <v>70675</v>
      </c>
    </row>
    <row r="151" customFormat="false" ht="15" hidden="false" customHeight="false" outlineLevel="0" collapsed="false">
      <c r="A151" s="2" t="n">
        <v>2025</v>
      </c>
      <c r="B151" s="2" t="n">
        <v>44</v>
      </c>
      <c r="C151" s="2" t="s">
        <v>300</v>
      </c>
      <c r="D151" s="2" t="s">
        <v>301</v>
      </c>
      <c r="E151" s="3" t="n">
        <v>69519</v>
      </c>
    </row>
    <row r="152" customFormat="false" ht="15" hidden="false" customHeight="false" outlineLevel="0" collapsed="false">
      <c r="A152" s="2" t="n">
        <v>2025</v>
      </c>
      <c r="B152" s="2" t="n">
        <v>45</v>
      </c>
      <c r="C152" s="2" t="s">
        <v>302</v>
      </c>
      <c r="D152" s="2" t="s">
        <v>303</v>
      </c>
      <c r="E152" s="3" t="n">
        <v>66630</v>
      </c>
    </row>
    <row r="153" customFormat="false" ht="15" hidden="false" customHeight="false" outlineLevel="0" collapsed="false">
      <c r="A153" s="2" t="n">
        <v>2025</v>
      </c>
      <c r="B153" s="2" t="n">
        <v>46</v>
      </c>
      <c r="C153" s="2" t="s">
        <v>304</v>
      </c>
      <c r="D153" s="2" t="s">
        <v>305</v>
      </c>
      <c r="E153" s="3" t="n">
        <v>66630</v>
      </c>
    </row>
    <row r="154" customFormat="false" ht="15" hidden="false" customHeight="false" outlineLevel="0" collapsed="false">
      <c r="A154" s="2" t="n">
        <v>2025</v>
      </c>
      <c r="B154" s="2" t="n">
        <v>47</v>
      </c>
      <c r="C154" s="2" t="s">
        <v>306</v>
      </c>
      <c r="D154" s="2" t="s">
        <v>307</v>
      </c>
      <c r="E154" s="3" t="n">
        <v>66630</v>
      </c>
    </row>
    <row r="155" customFormat="false" ht="15" hidden="false" customHeight="false" outlineLevel="0" collapsed="false">
      <c r="A155" s="2" t="n">
        <v>2025</v>
      </c>
      <c r="B155" s="2" t="n">
        <v>48</v>
      </c>
      <c r="C155" s="2" t="s">
        <v>308</v>
      </c>
      <c r="D155" s="2" t="s">
        <v>309</v>
      </c>
      <c r="E155" s="3" t="n">
        <v>66630</v>
      </c>
    </row>
    <row r="156" customFormat="false" ht="15" hidden="false" customHeight="false" outlineLevel="0" collapsed="false">
      <c r="A156" s="2" t="n">
        <v>2025</v>
      </c>
      <c r="B156" s="2" t="n">
        <v>49</v>
      </c>
      <c r="C156" s="2" t="s">
        <v>310</v>
      </c>
      <c r="D156" s="2" t="s">
        <v>311</v>
      </c>
      <c r="E156" s="3" t="n">
        <v>98194</v>
      </c>
    </row>
    <row r="157" customFormat="false" ht="15" hidden="false" customHeight="false" outlineLevel="0" collapsed="false">
      <c r="A157" s="2" t="n">
        <v>2025</v>
      </c>
      <c r="B157" s="2" t="n">
        <v>50</v>
      </c>
      <c r="C157" s="2" t="s">
        <v>312</v>
      </c>
      <c r="D157" s="2" t="s">
        <v>313</v>
      </c>
      <c r="E157" s="3" t="n">
        <v>98194</v>
      </c>
    </row>
    <row r="158" customFormat="false" ht="15" hidden="false" customHeight="false" outlineLevel="0" collapsed="false">
      <c r="A158" s="2" t="n">
        <v>2025</v>
      </c>
      <c r="B158" s="2" t="n">
        <v>51</v>
      </c>
      <c r="C158" s="2" t="s">
        <v>314</v>
      </c>
      <c r="D158" s="2" t="s">
        <v>315</v>
      </c>
      <c r="E158" s="3" t="n">
        <v>98194</v>
      </c>
    </row>
    <row r="159" customFormat="false" ht="15" hidden="false" customHeight="false" outlineLevel="0" collapsed="false">
      <c r="A159" s="2" t="n">
        <v>2025</v>
      </c>
      <c r="B159" s="2" t="n">
        <v>52</v>
      </c>
      <c r="C159" s="2" t="s">
        <v>316</v>
      </c>
      <c r="D159" s="2" t="s">
        <v>317</v>
      </c>
      <c r="E159" s="3" t="n">
        <v>98194</v>
      </c>
    </row>
    <row r="160" customFormat="false" ht="15" hidden="false" customHeight="false" outlineLevel="0" collapsed="false">
      <c r="A160" s="4" t="n">
        <v>2025</v>
      </c>
      <c r="B160" s="4" t="s">
        <v>109</v>
      </c>
      <c r="C160" s="4"/>
      <c r="D160" s="4"/>
      <c r="E160" s="5" t="n">
        <f aca="false">SUM(E108:E159)</f>
        <v>4362657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6" t="s">
        <v>318</v>
      </c>
    </row>
    <row r="2" customFormat="false" ht="15" hidden="false" customHeight="false" outlineLevel="0" collapsed="false">
      <c r="A2" s="7"/>
    </row>
    <row r="3" customFormat="false" ht="15" hidden="false" customHeight="false" outlineLevel="0" collapsed="false">
      <c r="A3" s="7" t="s">
        <v>319</v>
      </c>
    </row>
    <row r="4" customFormat="false" ht="15" hidden="false" customHeight="false" outlineLevel="0" collapsed="false">
      <c r="A4" s="7" t="s">
        <v>320</v>
      </c>
    </row>
    <row r="5" customFormat="false" ht="15" hidden="false" customHeight="false" outlineLevel="0" collapsed="false">
      <c r="A5" s="7" t="s">
        <v>321</v>
      </c>
    </row>
    <row r="6" customFormat="false" ht="15" hidden="false" customHeight="false" outlineLevel="0" collapsed="false">
      <c r="A6" s="7" t="s">
        <v>322</v>
      </c>
    </row>
    <row r="7" customFormat="false" ht="15" hidden="false" customHeight="false" outlineLevel="0" collapsed="false">
      <c r="A7" s="7"/>
    </row>
    <row r="8" customFormat="false" ht="15" hidden="false" customHeight="false" outlineLevel="0" collapsed="false">
      <c r="A8" s="7" t="s">
        <v>323</v>
      </c>
    </row>
    <row r="9" customFormat="false" ht="15" hidden="false" customHeight="false" outlineLevel="0" collapsed="false">
      <c r="A9" s="7" t="s">
        <v>324</v>
      </c>
    </row>
    <row r="10" customFormat="false" ht="15" hidden="false" customHeight="false" outlineLevel="0" collapsed="false">
      <c r="A10" s="7" t="s">
        <v>325</v>
      </c>
    </row>
    <row r="11" customFormat="false" ht="15" hidden="false" customHeight="false" outlineLevel="0" collapsed="false">
      <c r="A11" s="7" t="s">
        <v>326</v>
      </c>
    </row>
    <row r="12" customFormat="false" ht="15" hidden="false" customHeight="false" outlineLevel="0" collapsed="false">
      <c r="A12" s="7" t="s">
        <v>327</v>
      </c>
    </row>
    <row r="13" customFormat="false" ht="15" hidden="false" customHeight="false" outlineLevel="0" collapsed="false">
      <c r="A13" s="7" t="s">
        <v>328</v>
      </c>
    </row>
    <row r="14" customFormat="false" ht="15" hidden="false" customHeight="false" outlineLevel="0" collapsed="false">
      <c r="A14" s="7"/>
    </row>
    <row r="15" customFormat="false" ht="15" hidden="false" customHeight="false" outlineLevel="0" collapsed="false">
      <c r="A15" s="7" t="s">
        <v>329</v>
      </c>
    </row>
    <row r="16" customFormat="false" ht="15" hidden="false" customHeight="false" outlineLevel="0" collapsed="false">
      <c r="A16" s="7" t="s">
        <v>330</v>
      </c>
    </row>
    <row r="18" customFormat="false" ht="15" hidden="false" customHeight="false" outlineLevel="0" collapsed="false">
      <c r="A18" s="8" t="s">
        <v>331</v>
      </c>
      <c r="B18" s="8"/>
      <c r="C18" s="8" t="s">
        <v>332</v>
      </c>
      <c r="D18" s="8" t="s">
        <v>333</v>
      </c>
      <c r="E18" s="8" t="s">
        <v>334</v>
      </c>
    </row>
    <row r="19" customFormat="false" ht="15" hidden="false" customHeight="false" outlineLevel="0" collapsed="false">
      <c r="A19" s="9" t="n">
        <v>2023</v>
      </c>
      <c r="C19" s="10" t="n">
        <v>2803703</v>
      </c>
      <c r="D19" s="10" t="n">
        <f aca="false">SUM('Haftalık Satış'!E2:E53)</f>
        <v>2797979</v>
      </c>
      <c r="E19" s="10" t="n">
        <f aca="false">D19-C19</f>
        <v>-5724</v>
      </c>
    </row>
    <row r="20" customFormat="false" ht="15" hidden="false" customHeight="false" outlineLevel="0" collapsed="false">
      <c r="A20" s="9" t="n">
        <v>2024</v>
      </c>
      <c r="C20" s="10" t="n">
        <v>3423790</v>
      </c>
      <c r="D20" s="10" t="n">
        <f aca="false">SUM('Haftalık Satış'!E55:E106)</f>
        <v>3407012</v>
      </c>
      <c r="E20" s="10" t="n">
        <f aca="false">D20-C20</f>
        <v>-16778</v>
      </c>
    </row>
    <row r="21" customFormat="false" ht="15" hidden="false" customHeight="false" outlineLevel="0" collapsed="false">
      <c r="A21" s="9" t="n">
        <v>2025</v>
      </c>
      <c r="C21" s="10" t="n">
        <v>4387966</v>
      </c>
      <c r="D21" s="10" t="n">
        <f aca="false">SUM('Haftalık Satış'!E108:E159)</f>
        <v>4362657</v>
      </c>
      <c r="E21" s="10" t="n">
        <f aca="false">D21-C21</f>
        <v>-25309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2026-04-09T23:31:13Z</dcterms:created>
  <dc:creator>openpyxl</dc:creator>
  <dc:description/>
  <dc:language>en-US</dc:language>
  <cp:lastModifiedBy/>
  <dcterms:modified xsi:type="dcterms:W3CDTF">2026-04-09T23:31:13Z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